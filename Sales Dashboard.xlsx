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oham\Downloads\"/>
    </mc:Choice>
  </mc:AlternateContent>
  <xr:revisionPtr revIDLastSave="0" documentId="13_ncr:1_{BEFBF754-0AE0-49BE-A7BE-ECACC256414E}" xr6:coauthVersionLast="47" xr6:coauthVersionMax="47" xr10:uidLastSave="{00000000-0000-0000-0000-000000000000}"/>
  <bookViews>
    <workbookView xWindow="-108" yWindow="-108" windowWidth="23256" windowHeight="12456" activeTab="2" xr2:uid="{00000000-000D-0000-FFFF-FFFF00000000}"/>
  </bookViews>
  <sheets>
    <sheet name="Dashboard" sheetId="2" r:id="rId1"/>
    <sheet name="Customer" sheetId="10" r:id="rId2"/>
    <sheet name="About" sheetId="12" r:id="rId3"/>
    <sheet name="SalesData" sheetId="1" r:id="rId4"/>
    <sheet name="Pivot table" sheetId="9" r:id="rId5"/>
  </sheets>
  <definedNames>
    <definedName name="_xlnm._FilterDatabase" localSheetId="3" hidden="1">SalesData!$A$1:$L$41</definedName>
    <definedName name="NativeTimeline_Date">#N/A</definedName>
    <definedName name="Slicer_Category">#N/A</definedName>
    <definedName name="Slicer_Customer_Name">#N/A</definedName>
    <definedName name="Slicer_Product">#N/A</definedName>
    <definedName name="Slicer_Product1">#N/A</definedName>
    <definedName name="Slicer_Quantity">#N/A</definedName>
    <definedName name="Slicer_Region">#N/A</definedName>
    <definedName name="Slicer_Salesperson">#N/A</definedName>
    <definedName name="Slicer_Salespers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8" i="9" l="1"/>
  <c r="B36" i="9"/>
  <c r="B47" i="1" l="1"/>
  <c r="B28" i="9"/>
  <c r="B41" i="9"/>
  <c r="B44" i="9"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<sst xmlns="http://schemas.openxmlformats.org/spreadsheetml/2006/main" count="397" uniqueCount="97">
  <si>
    <t>Order_ID</t>
  </si>
  <si>
    <t>Customer_Name</t>
  </si>
  <si>
    <t>Region</t>
  </si>
  <si>
    <t>Category</t>
  </si>
  <si>
    <t>Product</t>
  </si>
  <si>
    <t>Quantity</t>
  </si>
  <si>
    <t>Unit_Price</t>
  </si>
  <si>
    <t>Sales</t>
  </si>
  <si>
    <t>Profit</t>
  </si>
  <si>
    <t>Payment_Mode</t>
  </si>
  <si>
    <t>Salesperson</t>
  </si>
  <si>
    <t>ORD001</t>
  </si>
  <si>
    <t>Rahul</t>
  </si>
  <si>
    <t>North</t>
  </si>
  <si>
    <t>Electronics</t>
  </si>
  <si>
    <t>Laptop</t>
  </si>
  <si>
    <t>UPI</t>
  </si>
  <si>
    <t>Amit</t>
  </si>
  <si>
    <t>ORD002</t>
  </si>
  <si>
    <t>Priya</t>
  </si>
  <si>
    <t>South</t>
  </si>
  <si>
    <t>Furniture</t>
  </si>
  <si>
    <t>Chair</t>
  </si>
  <si>
    <t>Cash</t>
  </si>
  <si>
    <t>Neha</t>
  </si>
  <si>
    <t>ORD003</t>
  </si>
  <si>
    <t>Arjun</t>
  </si>
  <si>
    <t>West</t>
  </si>
  <si>
    <t>Mobile</t>
  </si>
  <si>
    <t>Card</t>
  </si>
  <si>
    <t>ORD004</t>
  </si>
  <si>
    <t>Sneha</t>
  </si>
  <si>
    <t>East</t>
  </si>
  <si>
    <t>Stationery</t>
  </si>
  <si>
    <t>Notebook</t>
  </si>
  <si>
    <t>ORD005</t>
  </si>
  <si>
    <t>Vikram</t>
  </si>
  <si>
    <t>Table</t>
  </si>
  <si>
    <t>ORD006</t>
  </si>
  <si>
    <t>Anjali</t>
  </si>
  <si>
    <t>Headphones</t>
  </si>
  <si>
    <t>ORD007</t>
  </si>
  <si>
    <t>Rohit</t>
  </si>
  <si>
    <t>Pen</t>
  </si>
  <si>
    <t>ORD008</t>
  </si>
  <si>
    <t>Pooja</t>
  </si>
  <si>
    <t>Tablet</t>
  </si>
  <si>
    <t>ORD009</t>
  </si>
  <si>
    <t>Karan</t>
  </si>
  <si>
    <t>ORD010</t>
  </si>
  <si>
    <t>Meena</t>
  </si>
  <si>
    <t>ORD011</t>
  </si>
  <si>
    <t>Raj</t>
  </si>
  <si>
    <t>ORD012</t>
  </si>
  <si>
    <t>Divya</t>
  </si>
  <si>
    <t>ORD013</t>
  </si>
  <si>
    <t>Sameer</t>
  </si>
  <si>
    <t>ORD014</t>
  </si>
  <si>
    <t>Ayesha</t>
  </si>
  <si>
    <t>ORD015</t>
  </si>
  <si>
    <t>Imran</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</si>
  <si>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</si>
  <si>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</si>
  <si>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</si>
  <si>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</si>
  <si>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</si>
  <si>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</si>
  <si>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</si>
  <si>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</si>
  <si>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</si>
  <si>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</si>
  <si>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</si>
  <si>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</si>
  <si>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</si>
  <si>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</si>
  <si>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</si>
  <si>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</si>
  <si>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</si>
  <si>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</si>
  <si>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</si>
  <si>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</si>
  <si>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</si>
  <si>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</si>
  <si>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</si>
  <si>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</si>
  <si>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</si>
  <si>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Date</t>
  </si>
  <si>
    <t>Row Labels</t>
  </si>
  <si>
    <t>Grand Total</t>
  </si>
  <si>
    <t>Jan</t>
  </si>
  <si>
    <t>Feb</t>
  </si>
  <si>
    <t>Mar</t>
  </si>
  <si>
    <t>Sum of Sales</t>
  </si>
  <si>
    <t>Sum of Profit</t>
  </si>
  <si>
    <t>Sum of Quantity</t>
  </si>
  <si>
    <t>Sum of Unit_Price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</si>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</sst>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9">
    <xf numFmtId="0" fontId="0" fillId="0" borderId="0" xfId="0"/>
    <xf numFmtId="0" fontId="1" fillId="0" borderId="4" xfId="0" applyFont="1" applyBorder="1"/>
    <xf numFmtId="0" fontId="1" fillId="0" borderId="5" xfId="0" applyFont="1" applyBorder="1"/>
    <xf numFmtId="0" fontId="1" fillId="0" borderId="6" xfId="0" applyFont="1" applyBorder="1"/>
    <xf numFmtId="0" fontId="2" fillId="0" borderId="2" xfId="0" applyFont="1" applyBorder="1"/>
    <xf numFmtId="0" fontId="2" fillId="0" borderId="1" xfId="0" applyFont="1" applyBorder="1"/>
    <xf numFmtId="0" fontId="2" fillId="0" borderId="3" xfId="0" applyFont="1" applyBorder="1"/>
    <xf numFmtId="0" fontId="2" fillId="0" borderId="7" xfId="0" applyFont="1" applyBorder="1"/>
    <xf numFmtId="0" fontId="2" fillId="0" borderId="8" xfId="0" applyFont="1" applyBorder="1"/>
    <xf numFmtId="0" fontId="2" fillId="0" borderId="9" xfId="0" applyFont="1" applyBorder="1"/>
    <xf numFmtId="14" fontId="2" fillId="0" borderId="1" xfId="0" applyNumberFormat="1" applyFont="1" applyBorder="1"/>
    <xf numFmtId="14" fontId="2" fillId="0" borderId="8" xfId="0" applyNumberFormat="1" applyFont="1" applyBorder="1"/>
    <xf numFmtId="14" fontId="1" fillId="0" borderId="5" xfId="0" applyNumberFormat="1" applyFont="1" applyBorder="1"/>
    <xf numFmtId="0" fontId="0" fillId="0" borderId="0" xfId="0" pivotButton="1"/>
    <xf numFmtId="0" fontId="0" fillId="0" borderId="0" xfId="0" applyAlignment="1">
      <alignment horizontal="left"/>
    </xf>
    <xf numFmtId="3" fontId="0" fillId="0" borderId="0" xfId="0" applyNumberFormat="1"/>
    <xf numFmtId="0" fontId="1" fillId="2" borderId="10" xfId="0" applyFont="1" applyFill="1" applyBorder="1"/>
    <xf numFmtId="0" fontId="0" fillId="0" borderId="11" xfId="0" applyBorder="1"/>
    <xf numFmtId="0" fontId="0" fillId="0" borderId="0" xfId="0" applyNumberFormat="1"/>
  </cellXfs>
  <cellStyles count="1">
    <cellStyle name="Normal" xfId="0" builtinId="0"/>
  </cellStyles>
  <dxfs count="18">
    <dxf>
      <font>
        <color rgb="FF9C0006"/>
      </font>
      <fill>
        <patternFill>
          <bgColor rgb="FFFFC7CE"/>
        </patternFill>
      </fill>
    </dxf>
    <dxf>
      <font>
        <strike val="0"/>
        <outline val="0"/>
        <shadow val="0"/>
        <u val="none"/>
        <vertAlign val="baseline"/>
        <sz val="14"/>
        <color theme="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alcChain" Target="calcChain.xml"/><Relationship Id="rId10" Type="http://schemas.microsoft.com/office/2007/relationships/slicerCache" Target="slicerCaches/slicerCache4.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a:t>
            </a:r>
            <a:r>
              <a:rPr lang="en-US" b="1" baseline="0">
                <a:latin typeface="Times New Roman" panose="02020603050405020304" pitchFamily="18" charset="0"/>
                <a:cs typeface="Times New Roman" panose="02020603050405020304" pitchFamily="18" charset="0"/>
              </a:rPr>
              <a:t> done by Salespersom</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Amit</c:v>
                </c:pt>
                <c:pt idx="1">
                  <c:v>Neha</c:v>
                </c:pt>
                <c:pt idx="2">
                  <c:v>Rahul</c:v>
                </c:pt>
              </c:strCache>
            </c:strRef>
          </c:cat>
          <c:val>
            <c:numRef>
              <c:f>'Pivot table'!$B$48:$B$51</c:f>
              <c:numCache>
                <c:formatCode>General</c:formatCode>
                <c:ptCount val="3"/>
                <c:pt idx="0">
                  <c:v>415400</c:v>
                </c:pt>
                <c:pt idx="1">
                  <c:v>412500</c:v>
                </c:pt>
                <c:pt idx="2">
                  <c:v>399800</c:v>
                </c:pt>
              </c:numCache>
            </c:numRef>
          </c:val>
          <c:extLst>
            <c:ext xmlns:c16="http://schemas.microsoft.com/office/drawing/2014/chart" uri="{C3380CC4-5D6E-409C-BE32-E72D297353CC}">
              <c16:uniqueId val="{00000000-BBE7-4C8B-984B-7D3558B0CD6D}"/>
            </c:ext>
          </c:extLst>
        </c:ser>
        <c:dLbls>
          <c:showLegendKey val="0"/>
          <c:showVal val="0"/>
          <c:showCatName val="0"/>
          <c:showSerName val="0"/>
          <c:showPercent val="0"/>
          <c:showBubbleSize val="0"/>
        </c:dLbls>
        <c:gapWidth val="219"/>
        <c:overlap val="-27"/>
        <c:axId val="1338643440"/>
        <c:axId val="1740103504"/>
      </c:barChart>
      <c:catAx>
        <c:axId val="13386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103504"/>
        <c:crosses val="autoZero"/>
        <c:auto val="1"/>
        <c:lblAlgn val="ctr"/>
        <c:lblOffset val="100"/>
        <c:noMultiLvlLbl val="0"/>
      </c:catAx>
      <c:valAx>
        <c:axId val="17401035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4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Monthly Sales Trend</a:t>
            </a:r>
          </a:p>
        </c:rich>
      </c:tx>
      <c:layout>
        <c:manualLayout>
          <c:xMode val="edge"/>
          <c:yMode val="edge"/>
          <c:x val="0.34756731738614216"/>
          <c:y val="3.8888218318282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c:f>
              <c:strCache>
                <c:ptCount val="1"/>
                <c:pt idx="0">
                  <c:v>Total</c:v>
                </c:pt>
              </c:strCache>
            </c:strRef>
          </c:tx>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table'!$A$63:$A$66</c:f>
              <c:strCache>
                <c:ptCount val="3"/>
                <c:pt idx="0">
                  <c:v>Jan</c:v>
                </c:pt>
                <c:pt idx="1">
                  <c:v>Feb</c:v>
                </c:pt>
                <c:pt idx="2">
                  <c:v>Mar</c:v>
                </c:pt>
              </c:strCache>
            </c:strRef>
          </c:cat>
          <c:val>
            <c:numRef>
              <c:f>'Pivot table'!$B$63:$B$66</c:f>
              <c:numCache>
                <c:formatCode>General</c:formatCode>
                <c:ptCount val="3"/>
                <c:pt idx="0">
                  <c:v>403500</c:v>
                </c:pt>
                <c:pt idx="1">
                  <c:v>453000</c:v>
                </c:pt>
                <c:pt idx="2">
                  <c:v>371200</c:v>
                </c:pt>
              </c:numCache>
            </c:numRef>
          </c:val>
          <c:smooth val="0"/>
          <c:extLst>
            <c:ext xmlns:c16="http://schemas.microsoft.com/office/drawing/2014/chart" uri="{C3380CC4-5D6E-409C-BE32-E72D297353CC}">
              <c16:uniqueId val="{00000000-489E-4CAB-A364-CDD549FF5612}"/>
            </c:ext>
          </c:extLst>
        </c:ser>
        <c:dLbls>
          <c:dLblPos val="t"/>
          <c:showLegendKey val="0"/>
          <c:showVal val="1"/>
          <c:showCatName val="0"/>
          <c:showSerName val="0"/>
          <c:showPercent val="0"/>
          <c:showBubbleSize val="0"/>
        </c:dLbls>
        <c:smooth val="0"/>
        <c:axId val="549679199"/>
        <c:axId val="539159343"/>
      </c:lineChart>
      <c:catAx>
        <c:axId val="54967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59343"/>
        <c:crosses val="autoZero"/>
        <c:auto val="1"/>
        <c:lblAlgn val="ctr"/>
        <c:lblOffset val="100"/>
        <c:noMultiLvlLbl val="0"/>
      </c:catAx>
      <c:valAx>
        <c:axId val="539159343"/>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7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Sales by Region</a:t>
            </a:r>
          </a:p>
        </c:rich>
      </c:tx>
      <c:layout>
        <c:manualLayout>
          <c:xMode val="edge"/>
          <c:yMode val="edge"/>
          <c:x val="0.39015066376584623"/>
          <c:y val="3.54196729230266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table'!$B$82</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table'!$A$83:$A$87</c:f>
              <c:strCache>
                <c:ptCount val="4"/>
                <c:pt idx="0">
                  <c:v>East</c:v>
                </c:pt>
                <c:pt idx="1">
                  <c:v>North</c:v>
                </c:pt>
                <c:pt idx="2">
                  <c:v>South</c:v>
                </c:pt>
                <c:pt idx="3">
                  <c:v>West</c:v>
                </c:pt>
              </c:strCache>
            </c:strRef>
          </c:cat>
          <c:val>
            <c:numRef>
              <c:f>'Pivot table'!$B$83:$B$87</c:f>
              <c:numCache>
                <c:formatCode>General</c:formatCode>
                <c:ptCount val="4"/>
                <c:pt idx="0">
                  <c:v>266500</c:v>
                </c:pt>
                <c:pt idx="1">
                  <c:v>538000</c:v>
                </c:pt>
                <c:pt idx="2">
                  <c:v>162500</c:v>
                </c:pt>
                <c:pt idx="3">
                  <c:v>260700</c:v>
                </c:pt>
              </c:numCache>
            </c:numRef>
          </c:val>
          <c:extLst>
            <c:ext xmlns:c16="http://schemas.microsoft.com/office/drawing/2014/chart" uri="{C3380CC4-5D6E-409C-BE32-E72D297353CC}">
              <c16:uniqueId val="{00000000-24A9-4E7A-BEF5-B85C18614B0F}"/>
            </c:ext>
          </c:extLst>
        </c:ser>
        <c:dLbls>
          <c:dLblPos val="outEnd"/>
          <c:showLegendKey val="0"/>
          <c:showVal val="1"/>
          <c:showCatName val="0"/>
          <c:showSerName val="0"/>
          <c:showPercent val="0"/>
          <c:showBubbleSize val="0"/>
        </c:dLbls>
        <c:gapWidth val="219"/>
        <c:overlap val="-27"/>
        <c:axId val="641325007"/>
        <c:axId val="539170383"/>
      </c:barChart>
      <c:catAx>
        <c:axId val="64132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70383"/>
        <c:crosses val="autoZero"/>
        <c:auto val="1"/>
        <c:lblAlgn val="ctr"/>
        <c:lblOffset val="100"/>
        <c:noMultiLvlLbl val="0"/>
      </c:catAx>
      <c:valAx>
        <c:axId val="5391703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2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Sales by Category</a:t>
            </a:r>
          </a:p>
        </c:rich>
      </c:tx>
      <c:layout>
        <c:manualLayout>
          <c:xMode val="edge"/>
          <c:yMode val="edge"/>
          <c:x val="0.36533792274922344"/>
          <c:y val="3.909074425195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table'!$B$94</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table'!$A$95:$A$98</c:f>
              <c:strCache>
                <c:ptCount val="3"/>
                <c:pt idx="0">
                  <c:v>Electronics</c:v>
                </c:pt>
                <c:pt idx="1">
                  <c:v>Furniture</c:v>
                </c:pt>
                <c:pt idx="2">
                  <c:v>Stationery</c:v>
                </c:pt>
              </c:strCache>
            </c:strRef>
          </c:cat>
          <c:val>
            <c:numRef>
              <c:f>'Pivot table'!$B$95:$B$98</c:f>
              <c:numCache>
                <c:formatCode>General</c:formatCode>
                <c:ptCount val="3"/>
                <c:pt idx="0">
                  <c:v>1002000</c:v>
                </c:pt>
                <c:pt idx="1">
                  <c:v>200500</c:v>
                </c:pt>
                <c:pt idx="2">
                  <c:v>25200</c:v>
                </c:pt>
              </c:numCache>
            </c:numRef>
          </c:val>
          <c:extLst>
            <c:ext xmlns:c16="http://schemas.microsoft.com/office/drawing/2014/chart" uri="{C3380CC4-5D6E-409C-BE32-E72D297353CC}">
              <c16:uniqueId val="{00000000-2F8A-41A1-9137-4E44F66C4472}"/>
            </c:ext>
          </c:extLst>
        </c:ser>
        <c:dLbls>
          <c:dLblPos val="outEnd"/>
          <c:showLegendKey val="0"/>
          <c:showVal val="1"/>
          <c:showCatName val="0"/>
          <c:showSerName val="0"/>
          <c:showPercent val="0"/>
          <c:showBubbleSize val="0"/>
        </c:dLbls>
        <c:gapWidth val="182"/>
        <c:axId val="641350527"/>
        <c:axId val="539135343"/>
      </c:barChart>
      <c:catAx>
        <c:axId val="64135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35343"/>
        <c:crosses val="autoZero"/>
        <c:auto val="1"/>
        <c:lblAlgn val="ctr"/>
        <c:lblOffset val="100"/>
        <c:noMultiLvlLbl val="0"/>
      </c:catAx>
      <c:valAx>
        <c:axId val="539135343"/>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5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Sales by Payment Mode</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04954068241471"/>
              <c:y val="8.6904709827938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5202373140857392"/>
              <c:y val="-2.617526975794692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7758858267716479E-2"/>
              <c:y val="-0.1481962671332749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804954068241471"/>
              <c:y val="8.6904709827938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7758858267716479E-2"/>
              <c:y val="-0.1481962671332749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02373140857392"/>
              <c:y val="-2.617526975794692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alpha val="99000"/>
            </a:schemeClr>
          </a:solidFill>
          <a:ln w="19050">
            <a:solidFill>
              <a:schemeClr val="accent3">
                <a:lumMod val="75000"/>
              </a:schemeClr>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alpha val="99000"/>
            </a:schemeClr>
          </a:solidFill>
          <a:ln w="19050">
            <a:solidFill>
              <a:schemeClr val="accent3">
                <a:lumMod val="75000"/>
              </a:schemeClr>
            </a:solidFill>
          </a:ln>
          <a:effectLst/>
        </c:spPr>
        <c:dLbl>
          <c:idx val="0"/>
          <c:layout>
            <c:manualLayout>
              <c:x val="-0.21149584956115836"/>
              <c:y val="0.1130540538129087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alpha val="99000"/>
            </a:schemeClr>
          </a:solidFill>
          <a:ln w="19050">
            <a:solidFill>
              <a:schemeClr val="accent3">
                <a:lumMod val="75000"/>
              </a:schemeClr>
            </a:solidFill>
          </a:ln>
          <a:effectLst/>
        </c:spPr>
        <c:dLbl>
          <c:idx val="0"/>
          <c:layout>
            <c:manualLayout>
              <c:x val="-0.10430220425565399"/>
              <c:y val="-0.1699872339006144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alpha val="99000"/>
            </a:schemeClr>
          </a:solidFill>
          <a:ln w="19050">
            <a:solidFill>
              <a:schemeClr val="accent3">
                <a:lumMod val="75000"/>
              </a:schemeClr>
            </a:solidFill>
          </a:ln>
          <a:effectLst/>
        </c:spPr>
        <c:dLbl>
          <c:idx val="0"/>
          <c:layout>
            <c:manualLayout>
              <c:x val="0.21078076019233677"/>
              <c:y val="-2.61751627132533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table'!$B$135</c:f>
              <c:strCache>
                <c:ptCount val="1"/>
                <c:pt idx="0">
                  <c:v>Total</c:v>
                </c:pt>
              </c:strCache>
            </c:strRef>
          </c:tx>
          <c:spPr>
            <a:solidFill>
              <a:schemeClr val="accent6">
                <a:lumMod val="60000"/>
                <a:lumOff val="40000"/>
                <a:alpha val="99000"/>
              </a:schemeClr>
            </a:solidFill>
            <a:ln>
              <a:solidFill>
                <a:schemeClr val="accent3">
                  <a:lumMod val="75000"/>
                </a:schemeClr>
              </a:solidFill>
            </a:ln>
          </c:spPr>
          <c:dPt>
            <c:idx val="0"/>
            <c:bubble3D val="0"/>
            <c:spPr>
              <a:solidFill>
                <a:schemeClr val="accent2">
                  <a:alpha val="99000"/>
                </a:schemeClr>
              </a:solidFill>
              <a:ln w="19050">
                <a:solidFill>
                  <a:schemeClr val="accent3">
                    <a:lumMod val="75000"/>
                  </a:schemeClr>
                </a:solidFill>
              </a:ln>
              <a:effectLst/>
            </c:spPr>
            <c:extLst>
              <c:ext xmlns:c16="http://schemas.microsoft.com/office/drawing/2014/chart" uri="{C3380CC4-5D6E-409C-BE32-E72D297353CC}">
                <c16:uniqueId val="{00000001-E1B7-4A40-9C21-37526BBE74C9}"/>
              </c:ext>
            </c:extLst>
          </c:dPt>
          <c:dPt>
            <c:idx val="1"/>
            <c:bubble3D val="0"/>
            <c:spPr>
              <a:solidFill>
                <a:schemeClr val="accent6">
                  <a:lumMod val="60000"/>
                  <a:lumOff val="40000"/>
                  <a:alpha val="99000"/>
                </a:schemeClr>
              </a:solidFill>
              <a:ln w="19050">
                <a:solidFill>
                  <a:schemeClr val="accent3">
                    <a:lumMod val="75000"/>
                  </a:schemeClr>
                </a:solidFill>
              </a:ln>
              <a:effectLst/>
            </c:spPr>
            <c:extLst>
              <c:ext xmlns:c16="http://schemas.microsoft.com/office/drawing/2014/chart" uri="{C3380CC4-5D6E-409C-BE32-E72D297353CC}">
                <c16:uniqueId val="{00000003-E1B7-4A40-9C21-37526BBE74C9}"/>
              </c:ext>
            </c:extLst>
          </c:dPt>
          <c:dPt>
            <c:idx val="2"/>
            <c:bubble3D val="0"/>
            <c:spPr>
              <a:solidFill>
                <a:schemeClr val="accent6">
                  <a:lumMod val="60000"/>
                  <a:lumOff val="40000"/>
                  <a:alpha val="99000"/>
                </a:schemeClr>
              </a:solidFill>
              <a:ln w="19050">
                <a:solidFill>
                  <a:schemeClr val="accent3">
                    <a:lumMod val="75000"/>
                  </a:schemeClr>
                </a:solidFill>
              </a:ln>
              <a:effectLst/>
            </c:spPr>
            <c:extLst>
              <c:ext xmlns:c16="http://schemas.microsoft.com/office/drawing/2014/chart" uri="{C3380CC4-5D6E-409C-BE32-E72D297353CC}">
                <c16:uniqueId val="{00000005-E1B7-4A40-9C21-37526BBE74C9}"/>
              </c:ext>
            </c:extLst>
          </c:dPt>
          <c:dLbls>
            <c:dLbl>
              <c:idx val="0"/>
              <c:layout>
                <c:manualLayout>
                  <c:x val="0.21078076019233677"/>
                  <c:y val="-2.617516271325336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7-4A40-9C21-37526BBE74C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table'!$A$136:$A$137</c:f>
              <c:strCache>
                <c:ptCount val="1"/>
                <c:pt idx="0">
                  <c:v>UPI</c:v>
                </c:pt>
              </c:strCache>
            </c:strRef>
          </c:cat>
          <c:val>
            <c:numRef>
              <c:f>'Pivot table'!$B$136:$B$137</c:f>
              <c:numCache>
                <c:formatCode>General</c:formatCode>
                <c:ptCount val="1"/>
                <c:pt idx="0">
                  <c:v>27000</c:v>
                </c:pt>
              </c:numCache>
            </c:numRef>
          </c:val>
          <c:extLst>
            <c:ext xmlns:c16="http://schemas.microsoft.com/office/drawing/2014/chart" uri="{C3380CC4-5D6E-409C-BE32-E72D297353CC}">
              <c16:uniqueId val="{00000006-E1B7-4A40-9C21-37526BBE74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Top 5</a:t>
            </a:r>
            <a:r>
              <a:rPr lang="en-US" b="1" baseline="0">
                <a:solidFill>
                  <a:schemeClr val="tx1"/>
                </a:solidFill>
                <a:latin typeface="Times New Roman" panose="02020603050405020304" pitchFamily="18" charset="0"/>
                <a:cs typeface="Times New Roman" panose="02020603050405020304" pitchFamily="18" charset="0"/>
              </a:rPr>
              <a:t> Products</a:t>
            </a:r>
            <a:endParaRPr lang="en-US"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4013958880139982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table'!$B$104</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table'!$A$105:$A$110</c:f>
              <c:strCache>
                <c:ptCount val="5"/>
                <c:pt idx="0">
                  <c:v>Table</c:v>
                </c:pt>
                <c:pt idx="1">
                  <c:v>Chair</c:v>
                </c:pt>
                <c:pt idx="2">
                  <c:v>Tablet</c:v>
                </c:pt>
                <c:pt idx="3">
                  <c:v>Mobile</c:v>
                </c:pt>
                <c:pt idx="4">
                  <c:v>Laptop</c:v>
                </c:pt>
              </c:strCache>
            </c:strRef>
          </c:cat>
          <c:val>
            <c:numRef>
              <c:f>'Pivot table'!$B$105:$B$110</c:f>
              <c:numCache>
                <c:formatCode>General</c:formatCode>
                <c:ptCount val="5"/>
                <c:pt idx="0">
                  <c:v>98000</c:v>
                </c:pt>
                <c:pt idx="1">
                  <c:v>102500</c:v>
                </c:pt>
                <c:pt idx="2">
                  <c:v>250000</c:v>
                </c:pt>
                <c:pt idx="3">
                  <c:v>252000</c:v>
                </c:pt>
                <c:pt idx="4">
                  <c:v>440000</c:v>
                </c:pt>
              </c:numCache>
            </c:numRef>
          </c:val>
          <c:extLst>
            <c:ext xmlns:c16="http://schemas.microsoft.com/office/drawing/2014/chart" uri="{C3380CC4-5D6E-409C-BE32-E72D297353CC}">
              <c16:uniqueId val="{00000000-E280-431A-80C8-0CE4D2E488D6}"/>
            </c:ext>
          </c:extLst>
        </c:ser>
        <c:dLbls>
          <c:dLblPos val="outEnd"/>
          <c:showLegendKey val="0"/>
          <c:showVal val="1"/>
          <c:showCatName val="0"/>
          <c:showSerName val="0"/>
          <c:showPercent val="0"/>
          <c:showBubbleSize val="0"/>
        </c:dLbls>
        <c:gapWidth val="182"/>
        <c:axId val="654179151"/>
        <c:axId val="539167983"/>
      </c:barChart>
      <c:catAx>
        <c:axId val="65417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67983"/>
        <c:crosses val="autoZero"/>
        <c:auto val="1"/>
        <c:lblAlgn val="ctr"/>
        <c:lblOffset val="100"/>
        <c:noMultiLvlLbl val="0"/>
      </c:catAx>
      <c:valAx>
        <c:axId val="539167983"/>
        <c:scaling>
          <c:orientation val="minMax"/>
        </c:scaling>
        <c:delete val="1"/>
        <c:axPos val="b"/>
        <c:numFmt formatCode="General" sourceLinked="1"/>
        <c:majorTickMark val="none"/>
        <c:minorTickMark val="none"/>
        <c:tickLblPos val="nextTo"/>
        <c:crossAx val="6541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Quantity of</a:t>
            </a:r>
            <a:r>
              <a:rPr lang="en-US" b="1" baseline="0">
                <a:solidFill>
                  <a:schemeClr val="tx1"/>
                </a:solidFill>
                <a:latin typeface="Times New Roman" panose="02020603050405020304" pitchFamily="18" charset="0"/>
                <a:cs typeface="Times New Roman" panose="02020603050405020304" pitchFamily="18" charset="0"/>
              </a:rPr>
              <a:t> Products Purchased by Customer </a:t>
            </a:r>
            <a:endParaRPr lang="en-US"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8224473691329759"/>
          <c:y val="0.114339649223370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table'!$A$145:$A$153</c:f>
              <c:strCache>
                <c:ptCount val="8"/>
                <c:pt idx="0">
                  <c:v>Tablet</c:v>
                </c:pt>
                <c:pt idx="1">
                  <c:v>Table</c:v>
                </c:pt>
                <c:pt idx="2">
                  <c:v>Pen</c:v>
                </c:pt>
                <c:pt idx="3">
                  <c:v>Notebook</c:v>
                </c:pt>
                <c:pt idx="4">
                  <c:v>Mobile</c:v>
                </c:pt>
                <c:pt idx="5">
                  <c:v>Laptop</c:v>
                </c:pt>
                <c:pt idx="6">
                  <c:v>Headphones</c:v>
                </c:pt>
                <c:pt idx="7">
                  <c:v>Chair</c:v>
                </c:pt>
              </c:strCache>
            </c:strRef>
          </c:cat>
          <c:val>
            <c:numRef>
              <c:f>'Pivot table'!$B$145:$B$153</c:f>
              <c:numCache>
                <c:formatCode>General</c:formatCode>
                <c:ptCount val="8"/>
                <c:pt idx="0">
                  <c:v>10</c:v>
                </c:pt>
                <c:pt idx="1">
                  <c:v>14</c:v>
                </c:pt>
                <c:pt idx="2">
                  <c:v>435</c:v>
                </c:pt>
                <c:pt idx="3">
                  <c:v>165</c:v>
                </c:pt>
                <c:pt idx="4">
                  <c:v>14</c:v>
                </c:pt>
                <c:pt idx="5">
                  <c:v>8</c:v>
                </c:pt>
                <c:pt idx="6">
                  <c:v>30</c:v>
                </c:pt>
                <c:pt idx="7">
                  <c:v>41</c:v>
                </c:pt>
              </c:numCache>
            </c:numRef>
          </c:val>
          <c:extLst>
            <c:ext xmlns:c16="http://schemas.microsoft.com/office/drawing/2014/chart" uri="{C3380CC4-5D6E-409C-BE32-E72D297353CC}">
              <c16:uniqueId val="{00000000-5D66-4C1D-AEA4-1AA7035F5840}"/>
            </c:ext>
          </c:extLst>
        </c:ser>
        <c:dLbls>
          <c:dLblPos val="outEnd"/>
          <c:showLegendKey val="0"/>
          <c:showVal val="1"/>
          <c:showCatName val="0"/>
          <c:showSerName val="0"/>
          <c:showPercent val="0"/>
          <c:showBubbleSize val="0"/>
        </c:dLbls>
        <c:gapWidth val="219"/>
        <c:overlap val="-27"/>
        <c:axId val="249719968"/>
        <c:axId val="118446384"/>
      </c:barChart>
      <c:catAx>
        <c:axId val="249719968"/>
        <c:scaling>
          <c:orientation val="minMax"/>
        </c:scaling>
        <c:delete val="1"/>
        <c:axPos val="b"/>
        <c:numFmt formatCode="General" sourceLinked="1"/>
        <c:majorTickMark val="none"/>
        <c:minorTickMark val="none"/>
        <c:tickLblPos val="nextTo"/>
        <c:crossAx val="118446384"/>
        <c:crosses val="autoZero"/>
        <c:auto val="1"/>
        <c:lblAlgn val="ctr"/>
        <c:lblOffset val="100"/>
        <c:noMultiLvlLbl val="0"/>
      </c:catAx>
      <c:valAx>
        <c:axId val="11844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table!PivotTable20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Profit Earned by</a:t>
            </a:r>
            <a:r>
              <a:rPr lang="en-US" b="1" baseline="0">
                <a:solidFill>
                  <a:schemeClr val="tx1"/>
                </a:solidFill>
                <a:latin typeface="Times New Roman" panose="02020603050405020304" pitchFamily="18" charset="0"/>
                <a:cs typeface="Times New Roman" panose="02020603050405020304" pitchFamily="18" charset="0"/>
              </a:rPr>
              <a:t> Customer</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table'!$B$167</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table'!$A$168:$A$183</c:f>
              <c:strCache>
                <c:ptCount val="15"/>
                <c:pt idx="0">
                  <c:v>Anjali</c:v>
                </c:pt>
                <c:pt idx="1">
                  <c:v>Arjun</c:v>
                </c:pt>
                <c:pt idx="2">
                  <c:v>Ayesha</c:v>
                </c:pt>
                <c:pt idx="3">
                  <c:v>Divya</c:v>
                </c:pt>
                <c:pt idx="4">
                  <c:v>Imran</c:v>
                </c:pt>
                <c:pt idx="5">
                  <c:v>Karan</c:v>
                </c:pt>
                <c:pt idx="6">
                  <c:v>Meena</c:v>
                </c:pt>
                <c:pt idx="7">
                  <c:v>Pooja</c:v>
                </c:pt>
                <c:pt idx="8">
                  <c:v>Priya</c:v>
                </c:pt>
                <c:pt idx="9">
                  <c:v>Rahul</c:v>
                </c:pt>
                <c:pt idx="10">
                  <c:v>Raj</c:v>
                </c:pt>
                <c:pt idx="11">
                  <c:v>Rohit</c:v>
                </c:pt>
                <c:pt idx="12">
                  <c:v>Sameer</c:v>
                </c:pt>
                <c:pt idx="13">
                  <c:v>Sneha</c:v>
                </c:pt>
                <c:pt idx="14">
                  <c:v>Vikram</c:v>
                </c:pt>
              </c:strCache>
            </c:strRef>
          </c:cat>
          <c:val>
            <c:numRef>
              <c:f>'Pivot table'!$B$168:$B$183</c:f>
              <c:numCache>
                <c:formatCode>General</c:formatCode>
                <c:ptCount val="15"/>
                <c:pt idx="0">
                  <c:v>5500</c:v>
                </c:pt>
                <c:pt idx="1">
                  <c:v>22000</c:v>
                </c:pt>
                <c:pt idx="2">
                  <c:v>7500</c:v>
                </c:pt>
                <c:pt idx="3">
                  <c:v>4700</c:v>
                </c:pt>
                <c:pt idx="4">
                  <c:v>3600</c:v>
                </c:pt>
                <c:pt idx="5">
                  <c:v>16350</c:v>
                </c:pt>
                <c:pt idx="6">
                  <c:v>18000</c:v>
                </c:pt>
                <c:pt idx="7">
                  <c:v>10100</c:v>
                </c:pt>
                <c:pt idx="8">
                  <c:v>21500</c:v>
                </c:pt>
                <c:pt idx="9">
                  <c:v>16000</c:v>
                </c:pt>
                <c:pt idx="10">
                  <c:v>10000</c:v>
                </c:pt>
                <c:pt idx="11">
                  <c:v>6900</c:v>
                </c:pt>
                <c:pt idx="12">
                  <c:v>4900</c:v>
                </c:pt>
                <c:pt idx="13">
                  <c:v>11500</c:v>
                </c:pt>
                <c:pt idx="14">
                  <c:v>9400</c:v>
                </c:pt>
              </c:numCache>
            </c:numRef>
          </c:val>
          <c:extLst>
            <c:ext xmlns:c16="http://schemas.microsoft.com/office/drawing/2014/chart" uri="{C3380CC4-5D6E-409C-BE32-E72D297353CC}">
              <c16:uniqueId val="{00000000-5653-49BB-8F87-25612B82AC74}"/>
            </c:ext>
          </c:extLst>
        </c:ser>
        <c:dLbls>
          <c:showLegendKey val="0"/>
          <c:showVal val="0"/>
          <c:showCatName val="0"/>
          <c:showSerName val="0"/>
          <c:showPercent val="0"/>
          <c:showBubbleSize val="0"/>
        </c:dLbls>
        <c:gapWidth val="182"/>
        <c:axId val="760129280"/>
        <c:axId val="414789680"/>
      </c:barChart>
      <c:catAx>
        <c:axId val="76012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89680"/>
        <c:crosses val="autoZero"/>
        <c:auto val="1"/>
        <c:lblAlgn val="ctr"/>
        <c:lblOffset val="100"/>
        <c:noMultiLvlLbl val="0"/>
      </c:catAx>
      <c:valAx>
        <c:axId val="414789680"/>
        <c:scaling>
          <c:orientation val="minMax"/>
        </c:scaling>
        <c:delete val="1"/>
        <c:axPos val="b"/>
        <c:numFmt formatCode="General" sourceLinked="1"/>
        <c:majorTickMark val="none"/>
        <c:minorTickMark val="none"/>
        <c:tickLblPos val="nextTo"/>
        <c:crossAx val="76012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Monthly Sales Trend</a:t>
            </a:r>
          </a:p>
        </c:rich>
      </c:tx>
      <c:layout>
        <c:manualLayout>
          <c:xMode val="edge"/>
          <c:yMode val="edge"/>
          <c:x val="0.347567282907155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table'!$A$63:$A$66</c:f>
              <c:strCache>
                <c:ptCount val="3"/>
                <c:pt idx="0">
                  <c:v>Jan</c:v>
                </c:pt>
                <c:pt idx="1">
                  <c:v>Feb</c:v>
                </c:pt>
                <c:pt idx="2">
                  <c:v>Mar</c:v>
                </c:pt>
              </c:strCache>
            </c:strRef>
          </c:cat>
          <c:val>
            <c:numRef>
              <c:f>'Pivot table'!$B$63:$B$66</c:f>
              <c:numCache>
                <c:formatCode>General</c:formatCode>
                <c:ptCount val="3"/>
                <c:pt idx="0">
                  <c:v>403500</c:v>
                </c:pt>
                <c:pt idx="1">
                  <c:v>453000</c:v>
                </c:pt>
                <c:pt idx="2">
                  <c:v>371200</c:v>
                </c:pt>
              </c:numCache>
            </c:numRef>
          </c:val>
          <c:smooth val="0"/>
          <c:extLst>
            <c:ext xmlns:c16="http://schemas.microsoft.com/office/drawing/2014/chart" uri="{C3380CC4-5D6E-409C-BE32-E72D297353CC}">
              <c16:uniqueId val="{00000000-AD5C-4107-BEF0-CEBD840094C6}"/>
            </c:ext>
          </c:extLst>
        </c:ser>
        <c:dLbls>
          <c:dLblPos val="t"/>
          <c:showLegendKey val="0"/>
          <c:showVal val="1"/>
          <c:showCatName val="0"/>
          <c:showSerName val="0"/>
          <c:showPercent val="0"/>
          <c:showBubbleSize val="0"/>
        </c:dLbls>
        <c:smooth val="0"/>
        <c:axId val="549679199"/>
        <c:axId val="539159343"/>
      </c:lineChart>
      <c:catAx>
        <c:axId val="54967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59343"/>
        <c:crosses val="autoZero"/>
        <c:auto val="1"/>
        <c:lblAlgn val="ctr"/>
        <c:lblOffset val="100"/>
        <c:noMultiLvlLbl val="0"/>
      </c:catAx>
      <c:valAx>
        <c:axId val="539159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7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table'!$A$83:$A$87</c:f>
              <c:strCache>
                <c:ptCount val="4"/>
                <c:pt idx="0">
                  <c:v>East</c:v>
                </c:pt>
                <c:pt idx="1">
                  <c:v>North</c:v>
                </c:pt>
                <c:pt idx="2">
                  <c:v>South</c:v>
                </c:pt>
                <c:pt idx="3">
                  <c:v>West</c:v>
                </c:pt>
              </c:strCache>
            </c:strRef>
          </c:cat>
          <c:val>
            <c:numRef>
              <c:f>'Pivot table'!$B$83:$B$87</c:f>
              <c:numCache>
                <c:formatCode>General</c:formatCode>
                <c:ptCount val="4"/>
                <c:pt idx="0">
                  <c:v>266500</c:v>
                </c:pt>
                <c:pt idx="1">
                  <c:v>538000</c:v>
                </c:pt>
                <c:pt idx="2">
                  <c:v>162500</c:v>
                </c:pt>
                <c:pt idx="3">
                  <c:v>260700</c:v>
                </c:pt>
              </c:numCache>
            </c:numRef>
          </c:val>
          <c:extLst>
            <c:ext xmlns:c16="http://schemas.microsoft.com/office/drawing/2014/chart" uri="{C3380CC4-5D6E-409C-BE32-E72D297353CC}">
              <c16:uniqueId val="{00000000-47A4-462E-A620-BDDBF4C59B34}"/>
            </c:ext>
          </c:extLst>
        </c:ser>
        <c:dLbls>
          <c:dLblPos val="outEnd"/>
          <c:showLegendKey val="0"/>
          <c:showVal val="1"/>
          <c:showCatName val="0"/>
          <c:showSerName val="0"/>
          <c:showPercent val="0"/>
          <c:showBubbleSize val="0"/>
        </c:dLbls>
        <c:gapWidth val="219"/>
        <c:overlap val="-27"/>
        <c:axId val="641325007"/>
        <c:axId val="539170383"/>
      </c:barChart>
      <c:catAx>
        <c:axId val="64132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70383"/>
        <c:crosses val="autoZero"/>
        <c:auto val="1"/>
        <c:lblAlgn val="ctr"/>
        <c:lblOffset val="100"/>
        <c:noMultiLvlLbl val="0"/>
      </c:catAx>
      <c:valAx>
        <c:axId val="539170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2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table'!$A$95:$A$98</c:f>
              <c:strCache>
                <c:ptCount val="3"/>
                <c:pt idx="0">
                  <c:v>Electronics</c:v>
                </c:pt>
                <c:pt idx="1">
                  <c:v>Furniture</c:v>
                </c:pt>
                <c:pt idx="2">
                  <c:v>Stationery</c:v>
                </c:pt>
              </c:strCache>
            </c:strRef>
          </c:cat>
          <c:val>
            <c:numRef>
              <c:f>'Pivot table'!$B$95:$B$98</c:f>
              <c:numCache>
                <c:formatCode>General</c:formatCode>
                <c:ptCount val="3"/>
                <c:pt idx="0">
                  <c:v>1002000</c:v>
                </c:pt>
                <c:pt idx="1">
                  <c:v>200500</c:v>
                </c:pt>
                <c:pt idx="2">
                  <c:v>25200</c:v>
                </c:pt>
              </c:numCache>
            </c:numRef>
          </c:val>
          <c:extLst>
            <c:ext xmlns:c16="http://schemas.microsoft.com/office/drawing/2014/chart" uri="{C3380CC4-5D6E-409C-BE32-E72D297353CC}">
              <c16:uniqueId val="{00000000-AD85-4D09-80EC-3C20EE8A15DB}"/>
            </c:ext>
          </c:extLst>
        </c:ser>
        <c:dLbls>
          <c:dLblPos val="outEnd"/>
          <c:showLegendKey val="0"/>
          <c:showVal val="1"/>
          <c:showCatName val="0"/>
          <c:showSerName val="0"/>
          <c:showPercent val="0"/>
          <c:showBubbleSize val="0"/>
        </c:dLbls>
        <c:gapWidth val="182"/>
        <c:axId val="641350527"/>
        <c:axId val="539135343"/>
      </c:barChart>
      <c:catAx>
        <c:axId val="64135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35343"/>
        <c:crosses val="autoZero"/>
        <c:auto val="1"/>
        <c:lblAlgn val="ctr"/>
        <c:lblOffset val="100"/>
        <c:noMultiLvlLbl val="0"/>
      </c:catAx>
      <c:valAx>
        <c:axId val="53913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5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Top 5</a:t>
            </a:r>
            <a:r>
              <a:rPr lang="en-US" b="1" baseline="0">
                <a:solidFill>
                  <a:schemeClr val="tx1"/>
                </a:solidFill>
                <a:latin typeface="Times New Roman" panose="02020603050405020304" pitchFamily="18" charset="0"/>
                <a:cs typeface="Times New Roman" panose="02020603050405020304" pitchFamily="18" charset="0"/>
              </a:rPr>
              <a:t> Products</a:t>
            </a:r>
            <a:endParaRPr lang="en-US"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4013958880139982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table'!$A$105:$A$110</c:f>
              <c:strCache>
                <c:ptCount val="5"/>
                <c:pt idx="0">
                  <c:v>Table</c:v>
                </c:pt>
                <c:pt idx="1">
                  <c:v>Chair</c:v>
                </c:pt>
                <c:pt idx="2">
                  <c:v>Tablet</c:v>
                </c:pt>
                <c:pt idx="3">
                  <c:v>Mobile</c:v>
                </c:pt>
                <c:pt idx="4">
                  <c:v>Laptop</c:v>
                </c:pt>
              </c:strCache>
            </c:strRef>
          </c:cat>
          <c:val>
            <c:numRef>
              <c:f>'Pivot table'!$B$105:$B$110</c:f>
              <c:numCache>
                <c:formatCode>General</c:formatCode>
                <c:ptCount val="5"/>
                <c:pt idx="0">
                  <c:v>98000</c:v>
                </c:pt>
                <c:pt idx="1">
                  <c:v>102500</c:v>
                </c:pt>
                <c:pt idx="2">
                  <c:v>250000</c:v>
                </c:pt>
                <c:pt idx="3">
                  <c:v>252000</c:v>
                </c:pt>
                <c:pt idx="4">
                  <c:v>440000</c:v>
                </c:pt>
              </c:numCache>
            </c:numRef>
          </c:val>
          <c:extLst>
            <c:ext xmlns:c16="http://schemas.microsoft.com/office/drawing/2014/chart" uri="{C3380CC4-5D6E-409C-BE32-E72D297353CC}">
              <c16:uniqueId val="{00000000-7D47-4A70-9017-42DCB47AA0CA}"/>
            </c:ext>
          </c:extLst>
        </c:ser>
        <c:dLbls>
          <c:dLblPos val="outEnd"/>
          <c:showLegendKey val="0"/>
          <c:showVal val="1"/>
          <c:showCatName val="0"/>
          <c:showSerName val="0"/>
          <c:showPercent val="0"/>
          <c:showBubbleSize val="0"/>
        </c:dLbls>
        <c:gapWidth val="182"/>
        <c:axId val="654179151"/>
        <c:axId val="539167983"/>
      </c:barChart>
      <c:catAx>
        <c:axId val="65417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67983"/>
        <c:crosses val="autoZero"/>
        <c:auto val="1"/>
        <c:lblAlgn val="ctr"/>
        <c:lblOffset val="100"/>
        <c:noMultiLvlLbl val="0"/>
      </c:catAx>
      <c:valAx>
        <c:axId val="53916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Sales by Payment Mode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04954068241471"/>
              <c:y val="8.6904709827938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202373140857392"/>
              <c:y val="-2.617526975794692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7758858267716479E-2"/>
              <c:y val="-0.1481962671332749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37E-4007-A844-9CAD059983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37E-4007-A844-9CAD059983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37E-4007-A844-9CAD05998380}"/>
              </c:ext>
            </c:extLst>
          </c:dPt>
          <c:dLbls>
            <c:dLbl>
              <c:idx val="0"/>
              <c:layout>
                <c:manualLayout>
                  <c:x val="0.15202373140857392"/>
                  <c:y val="-2.61752697579469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37E-4007-A844-9CAD0599838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table'!$A$136:$A$137</c:f>
              <c:strCache>
                <c:ptCount val="1"/>
                <c:pt idx="0">
                  <c:v>UPI</c:v>
                </c:pt>
              </c:strCache>
            </c:strRef>
          </c:cat>
          <c:val>
            <c:numRef>
              <c:f>'Pivot table'!$B$136:$B$137</c:f>
              <c:numCache>
                <c:formatCode>General</c:formatCode>
                <c:ptCount val="1"/>
                <c:pt idx="0">
                  <c:v>27000</c:v>
                </c:pt>
              </c:numCache>
            </c:numRef>
          </c:val>
          <c:extLst>
            <c:ext xmlns:c16="http://schemas.microsoft.com/office/drawing/2014/chart" uri="{C3380CC4-5D6E-409C-BE32-E72D297353CC}">
              <c16:uniqueId val="{00000000-737E-4007-A844-9CAD059983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table!PivotTable18</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table'!$B$144</c:f>
              <c:strCache>
                <c:ptCount val="1"/>
                <c:pt idx="0">
                  <c:v>Total</c:v>
                </c:pt>
              </c:strCache>
            </c:strRef>
          </c:tx>
          <c:spPr>
            <a:solidFill>
              <a:schemeClr val="accent1"/>
            </a:solidFill>
            <a:ln>
              <a:noFill/>
            </a:ln>
            <a:effectLst/>
          </c:spPr>
          <c:invertIfNegative val="0"/>
          <c:cat>
            <c:strRef>
              <c:f>'Pivot table'!$A$145:$A$153</c:f>
              <c:strCache>
                <c:ptCount val="8"/>
                <c:pt idx="0">
                  <c:v>Tablet</c:v>
                </c:pt>
                <c:pt idx="1">
                  <c:v>Table</c:v>
                </c:pt>
                <c:pt idx="2">
                  <c:v>Pen</c:v>
                </c:pt>
                <c:pt idx="3">
                  <c:v>Notebook</c:v>
                </c:pt>
                <c:pt idx="4">
                  <c:v>Mobile</c:v>
                </c:pt>
                <c:pt idx="5">
                  <c:v>Laptop</c:v>
                </c:pt>
                <c:pt idx="6">
                  <c:v>Headphones</c:v>
                </c:pt>
                <c:pt idx="7">
                  <c:v>Chair</c:v>
                </c:pt>
              </c:strCache>
            </c:strRef>
          </c:cat>
          <c:val>
            <c:numRef>
              <c:f>'Pivot table'!$B$145:$B$153</c:f>
              <c:numCache>
                <c:formatCode>General</c:formatCode>
                <c:ptCount val="8"/>
                <c:pt idx="0">
                  <c:v>10</c:v>
                </c:pt>
                <c:pt idx="1">
                  <c:v>14</c:v>
                </c:pt>
                <c:pt idx="2">
                  <c:v>435</c:v>
                </c:pt>
                <c:pt idx="3">
                  <c:v>165</c:v>
                </c:pt>
                <c:pt idx="4">
                  <c:v>14</c:v>
                </c:pt>
                <c:pt idx="5">
                  <c:v>8</c:v>
                </c:pt>
                <c:pt idx="6">
                  <c:v>30</c:v>
                </c:pt>
                <c:pt idx="7">
                  <c:v>41</c:v>
                </c:pt>
              </c:numCache>
            </c:numRef>
          </c:val>
          <c:extLst>
            <c:ext xmlns:c16="http://schemas.microsoft.com/office/drawing/2014/chart" uri="{C3380CC4-5D6E-409C-BE32-E72D297353CC}">
              <c16:uniqueId val="{00000002-2A2C-4A66-A8C8-16C4125F3AFA}"/>
            </c:ext>
          </c:extLst>
        </c:ser>
        <c:dLbls>
          <c:showLegendKey val="0"/>
          <c:showVal val="0"/>
          <c:showCatName val="0"/>
          <c:showSerName val="0"/>
          <c:showPercent val="0"/>
          <c:showBubbleSize val="0"/>
        </c:dLbls>
        <c:gapWidth val="219"/>
        <c:overlap val="-27"/>
        <c:axId val="249800704"/>
        <c:axId val="129192784"/>
      </c:barChart>
      <c:catAx>
        <c:axId val="24980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2784"/>
        <c:crosses val="autoZero"/>
        <c:auto val="1"/>
        <c:lblAlgn val="ctr"/>
        <c:lblOffset val="100"/>
        <c:noMultiLvlLbl val="0"/>
      </c:catAx>
      <c:valAx>
        <c:axId val="12919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80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table!PivotTable18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Quantity of</a:t>
            </a:r>
            <a:r>
              <a:rPr lang="en-US" b="1" baseline="0">
                <a:latin typeface="Times New Roman" panose="02020603050405020304" pitchFamily="18" charset="0"/>
                <a:cs typeface="Times New Roman" panose="02020603050405020304" pitchFamily="18" charset="0"/>
              </a:rPr>
              <a:t> Products Purchased by Customer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table'!$A$145:$A$153</c:f>
              <c:strCache>
                <c:ptCount val="8"/>
                <c:pt idx="0">
                  <c:v>Tablet</c:v>
                </c:pt>
                <c:pt idx="1">
                  <c:v>Table</c:v>
                </c:pt>
                <c:pt idx="2">
                  <c:v>Pen</c:v>
                </c:pt>
                <c:pt idx="3">
                  <c:v>Notebook</c:v>
                </c:pt>
                <c:pt idx="4">
                  <c:v>Mobile</c:v>
                </c:pt>
                <c:pt idx="5">
                  <c:v>Laptop</c:v>
                </c:pt>
                <c:pt idx="6">
                  <c:v>Headphones</c:v>
                </c:pt>
                <c:pt idx="7">
                  <c:v>Chair</c:v>
                </c:pt>
              </c:strCache>
            </c:strRef>
          </c:cat>
          <c:val>
            <c:numRef>
              <c:f>'Pivot table'!$B$145:$B$153</c:f>
              <c:numCache>
                <c:formatCode>General</c:formatCode>
                <c:ptCount val="8"/>
                <c:pt idx="0">
                  <c:v>10</c:v>
                </c:pt>
                <c:pt idx="1">
                  <c:v>14</c:v>
                </c:pt>
                <c:pt idx="2">
                  <c:v>435</c:v>
                </c:pt>
                <c:pt idx="3">
                  <c:v>165</c:v>
                </c:pt>
                <c:pt idx="4">
                  <c:v>14</c:v>
                </c:pt>
                <c:pt idx="5">
                  <c:v>8</c:v>
                </c:pt>
                <c:pt idx="6">
                  <c:v>30</c:v>
                </c:pt>
                <c:pt idx="7">
                  <c:v>41</c:v>
                </c:pt>
              </c:numCache>
            </c:numRef>
          </c:val>
          <c:extLst>
            <c:ext xmlns:c16="http://schemas.microsoft.com/office/drawing/2014/chart" uri="{C3380CC4-5D6E-409C-BE32-E72D297353CC}">
              <c16:uniqueId val="{00000000-71CA-4FC2-A96A-35F805A31613}"/>
            </c:ext>
          </c:extLst>
        </c:ser>
        <c:dLbls>
          <c:dLblPos val="outEnd"/>
          <c:showLegendKey val="0"/>
          <c:showVal val="1"/>
          <c:showCatName val="0"/>
          <c:showSerName val="0"/>
          <c:showPercent val="0"/>
          <c:showBubbleSize val="0"/>
        </c:dLbls>
        <c:gapWidth val="219"/>
        <c:overlap val="-27"/>
        <c:axId val="249719968"/>
        <c:axId val="118446384"/>
      </c:barChart>
      <c:catAx>
        <c:axId val="249719968"/>
        <c:scaling>
          <c:orientation val="minMax"/>
        </c:scaling>
        <c:delete val="1"/>
        <c:axPos val="b"/>
        <c:numFmt formatCode="General" sourceLinked="1"/>
        <c:majorTickMark val="none"/>
        <c:minorTickMark val="none"/>
        <c:tickLblPos val="nextTo"/>
        <c:crossAx val="118446384"/>
        <c:crosses val="autoZero"/>
        <c:auto val="1"/>
        <c:lblAlgn val="ctr"/>
        <c:lblOffset val="100"/>
        <c:noMultiLvlLbl val="0"/>
      </c:catAx>
      <c:valAx>
        <c:axId val="11844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[Raw_Sales_Dashboard_Practice.xlsx]Pivot table!PivotTable20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Profit Earned by</a:t>
            </a:r>
            <a:r>
              <a:rPr lang="en-US" b="1" baseline="0">
                <a:solidFill>
                  <a:schemeClr val="tx1"/>
                </a:solidFill>
                <a:latin typeface="Times New Roman" panose="02020603050405020304" pitchFamily="18" charset="0"/>
                <a:cs typeface="Times New Roman" panose="02020603050405020304" pitchFamily="18" charset="0"/>
              </a:rPr>
              <a:t> Customer</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table'!$A$168:$A$183</c:f>
              <c:strCache>
                <c:ptCount val="15"/>
                <c:pt idx="0">
                  <c:v>Anjali</c:v>
                </c:pt>
                <c:pt idx="1">
                  <c:v>Arjun</c:v>
                </c:pt>
                <c:pt idx="2">
                  <c:v>Ayesha</c:v>
                </c:pt>
                <c:pt idx="3">
                  <c:v>Divya</c:v>
                </c:pt>
                <c:pt idx="4">
                  <c:v>Imran</c:v>
                </c:pt>
                <c:pt idx="5">
                  <c:v>Karan</c:v>
                </c:pt>
                <c:pt idx="6">
                  <c:v>Meena</c:v>
                </c:pt>
                <c:pt idx="7">
                  <c:v>Pooja</c:v>
                </c:pt>
                <c:pt idx="8">
                  <c:v>Priya</c:v>
                </c:pt>
                <c:pt idx="9">
                  <c:v>Rahul</c:v>
                </c:pt>
                <c:pt idx="10">
                  <c:v>Raj</c:v>
                </c:pt>
                <c:pt idx="11">
                  <c:v>Rohit</c:v>
                </c:pt>
                <c:pt idx="12">
                  <c:v>Sameer</c:v>
                </c:pt>
                <c:pt idx="13">
                  <c:v>Sneha</c:v>
                </c:pt>
                <c:pt idx="14">
                  <c:v>Vikram</c:v>
                </c:pt>
              </c:strCache>
            </c:strRef>
          </c:cat>
          <c:val>
            <c:numRef>
              <c:f>'Pivot table'!$B$168:$B$183</c:f>
              <c:numCache>
                <c:formatCode>General</c:formatCode>
                <c:ptCount val="15"/>
                <c:pt idx="0">
                  <c:v>5500</c:v>
                </c:pt>
                <c:pt idx="1">
                  <c:v>22000</c:v>
                </c:pt>
                <c:pt idx="2">
                  <c:v>7500</c:v>
                </c:pt>
                <c:pt idx="3">
                  <c:v>4700</c:v>
                </c:pt>
                <c:pt idx="4">
                  <c:v>3600</c:v>
                </c:pt>
                <c:pt idx="5">
                  <c:v>16350</c:v>
                </c:pt>
                <c:pt idx="6">
                  <c:v>18000</c:v>
                </c:pt>
                <c:pt idx="7">
                  <c:v>10100</c:v>
                </c:pt>
                <c:pt idx="8">
                  <c:v>21500</c:v>
                </c:pt>
                <c:pt idx="9">
                  <c:v>16000</c:v>
                </c:pt>
                <c:pt idx="10">
                  <c:v>10000</c:v>
                </c:pt>
                <c:pt idx="11">
                  <c:v>6900</c:v>
                </c:pt>
                <c:pt idx="12">
                  <c:v>4900</c:v>
                </c:pt>
                <c:pt idx="13">
                  <c:v>11500</c:v>
                </c:pt>
                <c:pt idx="14">
                  <c:v>9400</c:v>
                </c:pt>
              </c:numCache>
            </c:numRef>
          </c:val>
          <c:extLst>
            <c:ext xmlns:c16="http://schemas.microsoft.com/office/drawing/2014/chart" uri="{C3380CC4-5D6E-409C-BE32-E72D297353CC}">
              <c16:uniqueId val="{00000000-D4CC-4B1C-A86F-CA39462D9068}"/>
            </c:ext>
          </c:extLst>
        </c:ser>
        <c:dLbls>
          <c:showLegendKey val="0"/>
          <c:showVal val="0"/>
          <c:showCatName val="0"/>
          <c:showSerName val="0"/>
          <c:showPercent val="0"/>
          <c:showBubbleSize val="0"/>
        </c:dLbls>
        <c:gapWidth val="182"/>
        <c:axId val="760129280"/>
        <c:axId val="414789680"/>
      </c:barChart>
      <c:catAx>
        <c:axId val="76012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89680"/>
        <c:crosses val="autoZero"/>
        <c:auto val="1"/>
        <c:lblAlgn val="ctr"/>
        <c:lblOffset val="100"/>
        <c:noMultiLvlLbl val="0"/>
      </c:catAx>
      <c:valAx>
        <c:axId val="414789680"/>
        <c:scaling>
          <c:orientation val="minMax"/>
        </c:scaling>
        <c:delete val="1"/>
        <c:axPos val="b"/>
        <c:numFmt formatCode="General" sourceLinked="1"/>
        <c:majorTickMark val="none"/>
        <c:minorTickMark val="none"/>
        <c:tickLblPos val="nextTo"/>
        <c:crossAx val="7601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hyperlink" Target="#About!A1"/><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hyperlink" Target="#Customer!A1"/><Relationship Id="rId2" Type="http://schemas.openxmlformats.org/officeDocument/2006/relationships/image" Target="../media/image2.png"/><Relationship Id="rId16"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Dashboard!A1"/><Relationship Id="rId18" Type="http://schemas.openxmlformats.org/officeDocument/2006/relationships/hyperlink" Target="#About!A1"/><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Customer!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2.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Dashboard!A1"/><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Customer!A1"/><Relationship Id="rId2" Type="http://schemas.openxmlformats.org/officeDocument/2006/relationships/image" Target="../media/image2.png"/><Relationship Id="rId1" Type="http://schemas.openxmlformats.org/officeDocument/2006/relationships/image" Target="../media/image13.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hyperlink" Target="#About!A1"/></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114300</xdr:rowOff>
    </xdr:from>
    <xdr:to>
      <xdr:col>20</xdr:col>
      <xdr:colOff>30480</xdr:colOff>
      <xdr:row>55</xdr:row>
      <xdr:rowOff>111760</xdr:rowOff>
    </xdr:to>
    <xdr:sp macro="" textlink="">
      <xdr:nvSpPr>
        <xdr:cNvPr id="3" name="Rectangle 2">
          <a:extLst>
            <a:ext uri="{FF2B5EF4-FFF2-40B4-BE49-F238E27FC236}">
              <a16:creationId xmlns:a16="http://schemas.microsoft.com/office/drawing/2014/main" id="{73296001-171A-4FD3-2926-7B6F22442A70}"/>
            </a:ext>
          </a:extLst>
        </xdr:cNvPr>
        <xdr:cNvSpPr/>
      </xdr:nvSpPr>
      <xdr:spPr>
        <a:xfrm>
          <a:off x="121920" y="114300"/>
          <a:ext cx="12143490" cy="10032249"/>
        </a:xfrm>
        <a:prstGeom prst="rect">
          <a:avLst/>
        </a:prstGeom>
        <a:solidFill>
          <a:schemeClr val="tx2">
            <a:lumMod val="7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382557</xdr:colOff>
      <xdr:row>0</xdr:row>
      <xdr:rowOff>125691</xdr:rowOff>
    </xdr:from>
    <xdr:to>
      <xdr:col>19</xdr:col>
      <xdr:colOff>562478</xdr:colOff>
      <xdr:row>55</xdr:row>
      <xdr:rowOff>81280</xdr:rowOff>
    </xdr:to>
    <xdr:sp macro="" textlink="">
      <xdr:nvSpPr>
        <xdr:cNvPr id="5" name="Rectangle 4">
          <a:extLst>
            <a:ext uri="{FF2B5EF4-FFF2-40B4-BE49-F238E27FC236}">
              <a16:creationId xmlns:a16="http://schemas.microsoft.com/office/drawing/2014/main" id="{AC198409-69AA-3F3E-774E-D63C1359E753}"/>
            </a:ext>
          </a:extLst>
        </xdr:cNvPr>
        <xdr:cNvSpPr/>
      </xdr:nvSpPr>
      <xdr:spPr>
        <a:xfrm>
          <a:off x="1606050" y="125691"/>
          <a:ext cx="10579611" cy="9990378"/>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25000"/>
              </a:schemeClr>
            </a:solidFill>
          </a:endParaRPr>
        </a:p>
      </xdr:txBody>
    </xdr:sp>
    <xdr:clientData/>
  </xdr:twoCellAnchor>
  <xdr:twoCellAnchor>
    <xdr:from>
      <xdr:col>0</xdr:col>
      <xdr:colOff>121921</xdr:colOff>
      <xdr:row>0</xdr:row>
      <xdr:rowOff>106680</xdr:rowOff>
    </xdr:from>
    <xdr:to>
      <xdr:col>2</xdr:col>
      <xdr:colOff>369456</xdr:colOff>
      <xdr:row>5</xdr:row>
      <xdr:rowOff>152400</xdr:rowOff>
    </xdr:to>
    <xdr:sp macro="" textlink="">
      <xdr:nvSpPr>
        <xdr:cNvPr id="6" name="Rectangle 5">
          <a:extLst>
            <a:ext uri="{FF2B5EF4-FFF2-40B4-BE49-F238E27FC236}">
              <a16:creationId xmlns:a16="http://schemas.microsoft.com/office/drawing/2014/main" id="{16A5E417-8B10-C956-B71B-AB9CDE476121}"/>
            </a:ext>
          </a:extLst>
        </xdr:cNvPr>
        <xdr:cNvSpPr/>
      </xdr:nvSpPr>
      <xdr:spPr>
        <a:xfrm>
          <a:off x="121921" y="106680"/>
          <a:ext cx="1468114" cy="95943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533399</xdr:colOff>
      <xdr:row>4</xdr:row>
      <xdr:rowOff>121633</xdr:rowOff>
    </xdr:from>
    <xdr:to>
      <xdr:col>11</xdr:col>
      <xdr:colOff>450419</xdr:colOff>
      <xdr:row>11</xdr:row>
      <xdr:rowOff>64072</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A3C8A3A7-477A-4BDB-9990-AB7D5B7E25C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52599" y="832833"/>
              <a:ext cx="5403420" cy="11870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589176</xdr:colOff>
      <xdr:row>0</xdr:row>
      <xdr:rowOff>121920</xdr:rowOff>
    </xdr:from>
    <xdr:to>
      <xdr:col>16</xdr:col>
      <xdr:colOff>476471</xdr:colOff>
      <xdr:row>6</xdr:row>
      <xdr:rowOff>173689</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8B80E1E2-36B3-4D70-BCB7-9C1872BCA5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94776" y="121920"/>
              <a:ext cx="2935295" cy="1118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11</xdr:row>
      <xdr:rowOff>99060</xdr:rowOff>
    </xdr:from>
    <xdr:to>
      <xdr:col>19</xdr:col>
      <xdr:colOff>563054</xdr:colOff>
      <xdr:row>13</xdr:row>
      <xdr:rowOff>63500</xdr:rowOff>
    </xdr:to>
    <xdr:sp macro="" textlink="">
      <xdr:nvSpPr>
        <xdr:cNvPr id="12" name="Rectangle 11">
          <a:extLst>
            <a:ext uri="{FF2B5EF4-FFF2-40B4-BE49-F238E27FC236}">
              <a16:creationId xmlns:a16="http://schemas.microsoft.com/office/drawing/2014/main" id="{199C2DB6-42A3-410A-A6D1-77D116DAA579}"/>
            </a:ext>
          </a:extLst>
        </xdr:cNvPr>
        <xdr:cNvSpPr/>
      </xdr:nvSpPr>
      <xdr:spPr>
        <a:xfrm>
          <a:off x="1749597" y="2122301"/>
          <a:ext cx="10367329" cy="332302"/>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ANALYTICS</a:t>
          </a:r>
        </a:p>
      </xdr:txBody>
    </xdr:sp>
    <xdr:clientData/>
  </xdr:twoCellAnchor>
  <xdr:twoCellAnchor editAs="oneCell">
    <xdr:from>
      <xdr:col>9</xdr:col>
      <xdr:colOff>408940</xdr:colOff>
      <xdr:row>11</xdr:row>
      <xdr:rowOff>71120</xdr:rowOff>
    </xdr:from>
    <xdr:to>
      <xdr:col>10</xdr:col>
      <xdr:colOff>215477</xdr:colOff>
      <xdr:row>13</xdr:row>
      <xdr:rowOff>95250</xdr:rowOff>
    </xdr:to>
    <xdr:pic>
      <xdr:nvPicPr>
        <xdr:cNvPr id="14" name="Graphic 13" descr="Bar chart with solid fill">
          <a:extLst>
            <a:ext uri="{FF2B5EF4-FFF2-40B4-BE49-F238E27FC236}">
              <a16:creationId xmlns:a16="http://schemas.microsoft.com/office/drawing/2014/main" id="{6E4864E5-F7A3-4555-F51A-CB7AC0DA646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33440" y="2050203"/>
          <a:ext cx="420370" cy="383964"/>
        </a:xfrm>
        <a:prstGeom prst="rect">
          <a:avLst/>
        </a:prstGeom>
      </xdr:spPr>
    </xdr:pic>
    <xdr:clientData/>
  </xdr:twoCellAnchor>
  <xdr:twoCellAnchor>
    <xdr:from>
      <xdr:col>16</xdr:col>
      <xdr:colOff>568960</xdr:colOff>
      <xdr:row>0</xdr:row>
      <xdr:rowOff>109220</xdr:rowOff>
    </xdr:from>
    <xdr:to>
      <xdr:col>19</xdr:col>
      <xdr:colOff>576147</xdr:colOff>
      <xdr:row>11</xdr:row>
      <xdr:rowOff>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54C19FBB-664A-483A-9B7F-4C33A063E5A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22560" y="109220"/>
              <a:ext cx="1889760" cy="190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536388</xdr:colOff>
      <xdr:row>14</xdr:row>
      <xdr:rowOff>40640</xdr:rowOff>
    </xdr:from>
    <xdr:to>
      <xdr:col>6</xdr:col>
      <xdr:colOff>566868</xdr:colOff>
      <xdr:row>19</xdr:row>
      <xdr:rowOff>40640</xdr:rowOff>
    </xdr:to>
    <xdr:sp macro="" textlink="">
      <xdr:nvSpPr>
        <xdr:cNvPr id="16" name="Rectangle: Rounded Corners 15">
          <a:extLst>
            <a:ext uri="{FF2B5EF4-FFF2-40B4-BE49-F238E27FC236}">
              <a16:creationId xmlns:a16="http://schemas.microsoft.com/office/drawing/2014/main" id="{8C01B668-6798-3023-3296-FDD22AEB96A6}"/>
            </a:ext>
          </a:extLst>
        </xdr:cNvPr>
        <xdr:cNvSpPr/>
      </xdr:nvSpPr>
      <xdr:spPr>
        <a:xfrm>
          <a:off x="1754094" y="2603052"/>
          <a:ext cx="2465892" cy="915147"/>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487231</xdr:colOff>
      <xdr:row>14</xdr:row>
      <xdr:rowOff>47065</xdr:rowOff>
    </xdr:from>
    <xdr:to>
      <xdr:col>6</xdr:col>
      <xdr:colOff>548191</xdr:colOff>
      <xdr:row>19</xdr:row>
      <xdr:rowOff>36905</xdr:rowOff>
    </xdr:to>
    <xdr:sp macro="" textlink="">
      <xdr:nvSpPr>
        <xdr:cNvPr id="18" name="Rectangle: Rounded Corners 17">
          <a:extLst>
            <a:ext uri="{FF2B5EF4-FFF2-40B4-BE49-F238E27FC236}">
              <a16:creationId xmlns:a16="http://schemas.microsoft.com/office/drawing/2014/main" id="{3242654F-7C9A-F4A4-CD2E-52D6611493F7}"/>
            </a:ext>
          </a:extLst>
        </xdr:cNvPr>
        <xdr:cNvSpPr/>
      </xdr:nvSpPr>
      <xdr:spPr>
        <a:xfrm>
          <a:off x="2322470" y="2601375"/>
          <a:ext cx="1896200" cy="902093"/>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70C0"/>
              </a:solidFill>
              <a:latin typeface="Times New Roman" panose="02020603050405020304" pitchFamily="18" charset="0"/>
              <a:cs typeface="Times New Roman" panose="02020603050405020304" pitchFamily="18" charset="0"/>
            </a:rPr>
            <a:t>TOTAL</a:t>
          </a:r>
          <a:r>
            <a:rPr lang="en-IN" sz="1800" b="1" baseline="0">
              <a:solidFill>
                <a:srgbClr val="0070C0"/>
              </a:solidFill>
              <a:latin typeface="Times New Roman" panose="02020603050405020304" pitchFamily="18" charset="0"/>
              <a:cs typeface="Times New Roman" panose="02020603050405020304" pitchFamily="18" charset="0"/>
            </a:rPr>
            <a:t> SALES</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497840</xdr:colOff>
      <xdr:row>14</xdr:row>
      <xdr:rowOff>111759</xdr:rowOff>
    </xdr:from>
    <xdr:to>
      <xdr:col>3</xdr:col>
      <xdr:colOff>550757</xdr:colOff>
      <xdr:row>18</xdr:row>
      <xdr:rowOff>152142</xdr:rowOff>
    </xdr:to>
    <xdr:pic>
      <xdr:nvPicPr>
        <xdr:cNvPr id="20" name="Graphic 19" descr="Upward trend with solid fill">
          <a:extLst>
            <a:ext uri="{FF2B5EF4-FFF2-40B4-BE49-F238E27FC236}">
              <a16:creationId xmlns:a16="http://schemas.microsoft.com/office/drawing/2014/main" id="{B61AD24F-885D-621C-97CD-572869FC565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14479" y="2711524"/>
          <a:ext cx="669279" cy="752693"/>
        </a:xfrm>
        <a:prstGeom prst="rect">
          <a:avLst/>
        </a:prstGeom>
      </xdr:spPr>
    </xdr:pic>
    <xdr:clientData/>
  </xdr:twoCellAnchor>
  <xdr:twoCellAnchor>
    <xdr:from>
      <xdr:col>3</xdr:col>
      <xdr:colOff>506768</xdr:colOff>
      <xdr:row>16</xdr:row>
      <xdr:rowOff>151389</xdr:rowOff>
    </xdr:from>
    <xdr:to>
      <xdr:col>6</xdr:col>
      <xdr:colOff>537248</xdr:colOff>
      <xdr:row>19</xdr:row>
      <xdr:rowOff>21590</xdr:rowOff>
    </xdr:to>
    <xdr:sp macro="" textlink="'Pivot table'!B28">
      <xdr:nvSpPr>
        <xdr:cNvPr id="22" name="Rectangle: Rounded Corners 21">
          <a:extLst>
            <a:ext uri="{FF2B5EF4-FFF2-40B4-BE49-F238E27FC236}">
              <a16:creationId xmlns:a16="http://schemas.microsoft.com/office/drawing/2014/main" id="{A7AFA2EB-D810-4936-AF19-A5E8CE709E07}"/>
            </a:ext>
          </a:extLst>
        </xdr:cNvPr>
        <xdr:cNvSpPr/>
      </xdr:nvSpPr>
      <xdr:spPr>
        <a:xfrm>
          <a:off x="2335568" y="3077469"/>
          <a:ext cx="1859280" cy="418841"/>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CCF16C-9D72-47E6-BBEC-FBB7E05BE11F}"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12,27,700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7</xdr:col>
      <xdr:colOff>106513</xdr:colOff>
      <xdr:row>14</xdr:row>
      <xdr:rowOff>24343</xdr:rowOff>
    </xdr:from>
    <xdr:to>
      <xdr:col>11</xdr:col>
      <xdr:colOff>136751</xdr:colOff>
      <xdr:row>19</xdr:row>
      <xdr:rowOff>24343</xdr:rowOff>
    </xdr:to>
    <xdr:sp macro="" textlink="">
      <xdr:nvSpPr>
        <xdr:cNvPr id="23" name="Rectangle: Rounded Corners 22">
          <a:extLst>
            <a:ext uri="{FF2B5EF4-FFF2-40B4-BE49-F238E27FC236}">
              <a16:creationId xmlns:a16="http://schemas.microsoft.com/office/drawing/2014/main" id="{5C58113D-D8A7-4CF5-9016-03E75C5A9BBA}"/>
            </a:ext>
          </a:extLst>
        </xdr:cNvPr>
        <xdr:cNvSpPr/>
      </xdr:nvSpPr>
      <xdr:spPr>
        <a:xfrm>
          <a:off x="4358793" y="2560791"/>
          <a:ext cx="2460112" cy="905874"/>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97853</xdr:colOff>
      <xdr:row>16</xdr:row>
      <xdr:rowOff>127269</xdr:rowOff>
    </xdr:from>
    <xdr:to>
      <xdr:col>11</xdr:col>
      <xdr:colOff>129081</xdr:colOff>
      <xdr:row>19</xdr:row>
      <xdr:rowOff>15234</xdr:rowOff>
    </xdr:to>
    <xdr:sp macro="" textlink="'Pivot table'!B36">
      <xdr:nvSpPr>
        <xdr:cNvPr id="2" name="Rectangle: Rounded Corners 1">
          <a:extLst>
            <a:ext uri="{FF2B5EF4-FFF2-40B4-BE49-F238E27FC236}">
              <a16:creationId xmlns:a16="http://schemas.microsoft.com/office/drawing/2014/main" id="{2FB3FAB0-C516-4DCB-B441-CA958358C3E2}"/>
            </a:ext>
          </a:extLst>
        </xdr:cNvPr>
        <xdr:cNvSpPr/>
      </xdr:nvSpPr>
      <xdr:spPr>
        <a:xfrm>
          <a:off x="4974653" y="3053349"/>
          <a:ext cx="1860028" cy="436605"/>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CFFC4B-1035-48AA-916C-69037E370263}"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1,67,950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97155</xdr:colOff>
      <xdr:row>14</xdr:row>
      <xdr:rowOff>27901</xdr:rowOff>
    </xdr:from>
    <xdr:to>
      <xdr:col>11</xdr:col>
      <xdr:colOff>134143</xdr:colOff>
      <xdr:row>16</xdr:row>
      <xdr:rowOff>110490</xdr:rowOff>
    </xdr:to>
    <xdr:sp macro="" textlink="">
      <xdr:nvSpPr>
        <xdr:cNvPr id="4" name="Rectangle: Rounded Corners 3">
          <a:extLst>
            <a:ext uri="{FF2B5EF4-FFF2-40B4-BE49-F238E27FC236}">
              <a16:creationId xmlns:a16="http://schemas.microsoft.com/office/drawing/2014/main" id="{2511D07C-40E6-4C78-B36E-246F6A8FBAB1}"/>
            </a:ext>
          </a:extLst>
        </xdr:cNvPr>
        <xdr:cNvSpPr/>
      </xdr:nvSpPr>
      <xdr:spPr>
        <a:xfrm>
          <a:off x="4973955" y="2588221"/>
          <a:ext cx="1865788" cy="448349"/>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50" b="1">
              <a:solidFill>
                <a:srgbClr val="0070C0"/>
              </a:solidFill>
              <a:latin typeface="Times New Roman" panose="02020603050405020304" pitchFamily="18" charset="0"/>
              <a:cs typeface="Times New Roman" panose="02020603050405020304" pitchFamily="18" charset="0"/>
            </a:rPr>
            <a:t>TOTAL</a:t>
          </a:r>
          <a:r>
            <a:rPr lang="en-IN" sz="1750" b="1" baseline="0">
              <a:solidFill>
                <a:srgbClr val="0070C0"/>
              </a:solidFill>
              <a:latin typeface="Times New Roman" panose="02020603050405020304" pitchFamily="18" charset="0"/>
              <a:cs typeface="Times New Roman" panose="02020603050405020304" pitchFamily="18" charset="0"/>
            </a:rPr>
            <a:t> PROFIT</a:t>
          </a:r>
          <a:endParaRPr lang="en-IN" sz="175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310109</xdr:colOff>
      <xdr:row>14</xdr:row>
      <xdr:rowOff>50855</xdr:rowOff>
    </xdr:from>
    <xdr:to>
      <xdr:col>15</xdr:col>
      <xdr:colOff>340589</xdr:colOff>
      <xdr:row>19</xdr:row>
      <xdr:rowOff>50855</xdr:rowOff>
    </xdr:to>
    <xdr:sp macro="" textlink="">
      <xdr:nvSpPr>
        <xdr:cNvPr id="13" name="Rectangle: Rounded Corners 12">
          <a:extLst>
            <a:ext uri="{FF2B5EF4-FFF2-40B4-BE49-F238E27FC236}">
              <a16:creationId xmlns:a16="http://schemas.microsoft.com/office/drawing/2014/main" id="{1FBE9180-C4DA-4A7F-960D-96358B4734F7}"/>
            </a:ext>
          </a:extLst>
        </xdr:cNvPr>
        <xdr:cNvSpPr/>
      </xdr:nvSpPr>
      <xdr:spPr>
        <a:xfrm>
          <a:off x="6997875" y="2661110"/>
          <a:ext cx="2462395" cy="932234"/>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492541</xdr:colOff>
      <xdr:row>14</xdr:row>
      <xdr:rowOff>54946</xdr:rowOff>
    </xdr:from>
    <xdr:to>
      <xdr:col>19</xdr:col>
      <xdr:colOff>523022</xdr:colOff>
      <xdr:row>19</xdr:row>
      <xdr:rowOff>54946</xdr:rowOff>
    </xdr:to>
    <xdr:sp macro="" textlink="">
      <xdr:nvSpPr>
        <xdr:cNvPr id="17" name="Rectangle: Rounded Corners 16">
          <a:extLst>
            <a:ext uri="{FF2B5EF4-FFF2-40B4-BE49-F238E27FC236}">
              <a16:creationId xmlns:a16="http://schemas.microsoft.com/office/drawing/2014/main" id="{734BC0C8-B388-408A-B397-62B8AEE7E5A0}"/>
            </a:ext>
          </a:extLst>
        </xdr:cNvPr>
        <xdr:cNvSpPr/>
      </xdr:nvSpPr>
      <xdr:spPr>
        <a:xfrm>
          <a:off x="9612222" y="2665201"/>
          <a:ext cx="2462396" cy="932234"/>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265432</xdr:colOff>
      <xdr:row>14</xdr:row>
      <xdr:rowOff>59053</xdr:rowOff>
    </xdr:from>
    <xdr:to>
      <xdr:col>15</xdr:col>
      <xdr:colOff>327140</xdr:colOff>
      <xdr:row>19</xdr:row>
      <xdr:rowOff>48893</xdr:rowOff>
    </xdr:to>
    <xdr:sp macro="" textlink="">
      <xdr:nvSpPr>
        <xdr:cNvPr id="19" name="Rectangle: Rounded Corners 18">
          <a:extLst>
            <a:ext uri="{FF2B5EF4-FFF2-40B4-BE49-F238E27FC236}">
              <a16:creationId xmlns:a16="http://schemas.microsoft.com/office/drawing/2014/main" id="{24DED9EB-44E2-4C61-AB50-DD720630FB3F}"/>
            </a:ext>
          </a:extLst>
        </xdr:cNvPr>
        <xdr:cNvSpPr/>
      </xdr:nvSpPr>
      <xdr:spPr>
        <a:xfrm>
          <a:off x="7591023" y="2604826"/>
          <a:ext cx="1893106" cy="899044"/>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70C0"/>
              </a:solidFill>
              <a:latin typeface="Times New Roman" panose="02020603050405020304" pitchFamily="18" charset="0"/>
              <a:cs typeface="Times New Roman" panose="02020603050405020304" pitchFamily="18" charset="0"/>
            </a:rPr>
            <a:t>TOTAL</a:t>
          </a:r>
          <a:r>
            <a:rPr lang="en-IN" sz="1800" b="1" baseline="0">
              <a:solidFill>
                <a:srgbClr val="0070C0"/>
              </a:solidFill>
              <a:latin typeface="Times New Roman" panose="02020603050405020304" pitchFamily="18" charset="0"/>
              <a:cs typeface="Times New Roman" panose="02020603050405020304" pitchFamily="18" charset="0"/>
            </a:rPr>
            <a:t> UNITS</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465965</xdr:colOff>
      <xdr:row>14</xdr:row>
      <xdr:rowOff>58814</xdr:rowOff>
    </xdr:from>
    <xdr:to>
      <xdr:col>19</xdr:col>
      <xdr:colOff>527674</xdr:colOff>
      <xdr:row>19</xdr:row>
      <xdr:rowOff>48654</xdr:rowOff>
    </xdr:to>
    <xdr:sp macro="" textlink="">
      <xdr:nvSpPr>
        <xdr:cNvPr id="21" name="Rectangle: Rounded Corners 20">
          <a:extLst>
            <a:ext uri="{FF2B5EF4-FFF2-40B4-BE49-F238E27FC236}">
              <a16:creationId xmlns:a16="http://schemas.microsoft.com/office/drawing/2014/main" id="{CCA9A7C1-8145-476C-8029-A95995F7D81F}"/>
            </a:ext>
          </a:extLst>
        </xdr:cNvPr>
        <xdr:cNvSpPr/>
      </xdr:nvSpPr>
      <xdr:spPr>
        <a:xfrm>
          <a:off x="10253909" y="2613124"/>
          <a:ext cx="1896948" cy="902093"/>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rgbClr val="0070C0"/>
              </a:solidFill>
              <a:latin typeface="Times New Roman" panose="02020603050405020304" pitchFamily="18" charset="0"/>
              <a:cs typeface="Times New Roman" panose="02020603050405020304" pitchFamily="18" charset="0"/>
            </a:rPr>
            <a:t>QUANTITY</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282750</xdr:colOff>
      <xdr:row>16</xdr:row>
      <xdr:rowOff>139959</xdr:rowOff>
    </xdr:from>
    <xdr:to>
      <xdr:col>15</xdr:col>
      <xdr:colOff>313978</xdr:colOff>
      <xdr:row>19</xdr:row>
      <xdr:rowOff>55095</xdr:rowOff>
    </xdr:to>
    <xdr:sp macro="" textlink="'Pivot table'!B36">
      <xdr:nvSpPr>
        <xdr:cNvPr id="24" name="Rectangle: Rounded Corners 23">
          <a:extLst>
            <a:ext uri="{FF2B5EF4-FFF2-40B4-BE49-F238E27FC236}">
              <a16:creationId xmlns:a16="http://schemas.microsoft.com/office/drawing/2014/main" id="{3A45CF08-AB2F-4ED3-B2D6-E3EBB460BE51}"/>
            </a:ext>
          </a:extLst>
        </xdr:cNvPr>
        <xdr:cNvSpPr/>
      </xdr:nvSpPr>
      <xdr:spPr>
        <a:xfrm>
          <a:off x="7560628" y="3125755"/>
          <a:ext cx="1850697" cy="474973"/>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EFE815-1A76-40E2-BD0B-CE08926A25E4}"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1,67,950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478954</xdr:colOff>
      <xdr:row>16</xdr:row>
      <xdr:rowOff>132185</xdr:rowOff>
    </xdr:from>
    <xdr:to>
      <xdr:col>19</xdr:col>
      <xdr:colOff>510183</xdr:colOff>
      <xdr:row>19</xdr:row>
      <xdr:rowOff>54858</xdr:rowOff>
    </xdr:to>
    <xdr:sp macro="" textlink="'Pivot table'!B41">
      <xdr:nvSpPr>
        <xdr:cNvPr id="25" name="Rectangle: Rounded Corners 24">
          <a:extLst>
            <a:ext uri="{FF2B5EF4-FFF2-40B4-BE49-F238E27FC236}">
              <a16:creationId xmlns:a16="http://schemas.microsoft.com/office/drawing/2014/main" id="{2CC488A5-2E20-48F8-87A2-3F63183BF481}"/>
            </a:ext>
          </a:extLst>
        </xdr:cNvPr>
        <xdr:cNvSpPr/>
      </xdr:nvSpPr>
      <xdr:spPr>
        <a:xfrm>
          <a:off x="10266898" y="3051396"/>
          <a:ext cx="1866468" cy="470025"/>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F4336A-B17A-4C18-9ADD-AE615C0F1D30}" type="TxLink">
            <a:rPr lang="en-US" sz="1800" b="1" i="0" u="none" strike="noStrike">
              <a:solidFill>
                <a:schemeClr val="tx1"/>
              </a:solidFill>
              <a:latin typeface="Times New Roman" panose="02020603050405020304" pitchFamily="18" charset="0"/>
              <a:ea typeface="Calibri"/>
              <a:cs typeface="Times New Roman" panose="02020603050405020304" pitchFamily="18" charset="0"/>
            </a:rPr>
            <a:pPr algn="ctr"/>
            <a:t>717</a:t>
          </a:fld>
          <a:endParaRPr lang="en-IN"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63944</xdr:colOff>
      <xdr:row>14</xdr:row>
      <xdr:rowOff>100752</xdr:rowOff>
    </xdr:from>
    <xdr:to>
      <xdr:col>8</xdr:col>
      <xdr:colOff>75199</xdr:colOff>
      <xdr:row>18</xdr:row>
      <xdr:rowOff>171354</xdr:rowOff>
    </xdr:to>
    <xdr:pic>
      <xdr:nvPicPr>
        <xdr:cNvPr id="29" name="Graphic 28" descr="Bar graph with upward trend with solid fill">
          <a:extLst>
            <a:ext uri="{FF2B5EF4-FFF2-40B4-BE49-F238E27FC236}">
              <a16:creationId xmlns:a16="http://schemas.microsoft.com/office/drawing/2014/main" id="{ABFDAED2-9E6B-7FA8-2DC9-4844F6839A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22179" y="2700517"/>
          <a:ext cx="627619" cy="782912"/>
        </a:xfrm>
        <a:prstGeom prst="rect">
          <a:avLst/>
        </a:prstGeom>
      </xdr:spPr>
    </xdr:pic>
    <xdr:clientData/>
  </xdr:twoCellAnchor>
  <xdr:twoCellAnchor editAs="oneCell">
    <xdr:from>
      <xdr:col>15</xdr:col>
      <xdr:colOff>454926</xdr:colOff>
      <xdr:row>14</xdr:row>
      <xdr:rowOff>132646</xdr:rowOff>
    </xdr:from>
    <xdr:to>
      <xdr:col>16</xdr:col>
      <xdr:colOff>498061</xdr:colOff>
      <xdr:row>18</xdr:row>
      <xdr:rowOff>163002</xdr:rowOff>
    </xdr:to>
    <xdr:pic>
      <xdr:nvPicPr>
        <xdr:cNvPr id="31" name="Graphic 30" descr="Bar chart with solid fill">
          <a:extLst>
            <a:ext uri="{FF2B5EF4-FFF2-40B4-BE49-F238E27FC236}">
              <a16:creationId xmlns:a16="http://schemas.microsoft.com/office/drawing/2014/main" id="{4AD67F36-159E-643A-54B7-649B3A11F6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81866" y="2680228"/>
          <a:ext cx="659641" cy="727757"/>
        </a:xfrm>
        <a:prstGeom prst="rect">
          <a:avLst/>
        </a:prstGeom>
      </xdr:spPr>
    </xdr:pic>
    <xdr:clientData/>
  </xdr:twoCellAnchor>
  <xdr:twoCellAnchor editAs="oneCell">
    <xdr:from>
      <xdr:col>11</xdr:col>
      <xdr:colOff>259178</xdr:colOff>
      <xdr:row>14</xdr:row>
      <xdr:rowOff>140660</xdr:rowOff>
    </xdr:from>
    <xdr:to>
      <xdr:col>12</xdr:col>
      <xdr:colOff>318528</xdr:colOff>
      <xdr:row>18</xdr:row>
      <xdr:rowOff>163002</xdr:rowOff>
    </xdr:to>
    <xdr:pic>
      <xdr:nvPicPr>
        <xdr:cNvPr id="35" name="Graphic 34" descr="Presentation with bar chart with solid fill">
          <a:extLst>
            <a:ext uri="{FF2B5EF4-FFF2-40B4-BE49-F238E27FC236}">
              <a16:creationId xmlns:a16="http://schemas.microsoft.com/office/drawing/2014/main" id="{D14E6CB9-3355-652A-EFB8-25C169E1E7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01221" y="2691703"/>
          <a:ext cx="680307" cy="720732"/>
        </a:xfrm>
        <a:prstGeom prst="rect">
          <a:avLst/>
        </a:prstGeom>
      </xdr:spPr>
    </xdr:pic>
    <xdr:clientData/>
  </xdr:twoCellAnchor>
  <xdr:twoCellAnchor>
    <xdr:from>
      <xdr:col>2</xdr:col>
      <xdr:colOff>536830</xdr:colOff>
      <xdr:row>19</xdr:row>
      <xdr:rowOff>161672</xdr:rowOff>
    </xdr:from>
    <xdr:to>
      <xdr:col>11</xdr:col>
      <xdr:colOff>142240</xdr:colOff>
      <xdr:row>34</xdr:row>
      <xdr:rowOff>142240</xdr:rowOff>
    </xdr:to>
    <xdr:graphicFrame macro="">
      <xdr:nvGraphicFramePr>
        <xdr:cNvPr id="7" name="Chart 6">
          <a:extLst>
            <a:ext uri="{FF2B5EF4-FFF2-40B4-BE49-F238E27FC236}">
              <a16:creationId xmlns:a16="http://schemas.microsoft.com/office/drawing/2014/main" id="{134A1F52-3F6E-40E4-A327-AFC86B046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284649</xdr:colOff>
      <xdr:row>20</xdr:row>
      <xdr:rowOff>41189</xdr:rowOff>
    </xdr:from>
    <xdr:to>
      <xdr:col>19</xdr:col>
      <xdr:colOff>487406</xdr:colOff>
      <xdr:row>34</xdr:row>
      <xdr:rowOff>150396</xdr:rowOff>
    </xdr:to>
    <xdr:graphicFrame macro="">
      <xdr:nvGraphicFramePr>
        <xdr:cNvPr id="11" name="Chart 10">
          <a:extLst>
            <a:ext uri="{FF2B5EF4-FFF2-40B4-BE49-F238E27FC236}">
              <a16:creationId xmlns:a16="http://schemas.microsoft.com/office/drawing/2014/main" id="{D1B75407-FC2B-4AE3-8B70-740B4E82B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539262</xdr:colOff>
      <xdr:row>35</xdr:row>
      <xdr:rowOff>13367</xdr:rowOff>
    </xdr:from>
    <xdr:to>
      <xdr:col>11</xdr:col>
      <xdr:colOff>147053</xdr:colOff>
      <xdr:row>54</xdr:row>
      <xdr:rowOff>160420</xdr:rowOff>
    </xdr:to>
    <xdr:graphicFrame macro="">
      <xdr:nvGraphicFramePr>
        <xdr:cNvPr id="26" name="Chart 25">
          <a:extLst>
            <a:ext uri="{FF2B5EF4-FFF2-40B4-BE49-F238E27FC236}">
              <a16:creationId xmlns:a16="http://schemas.microsoft.com/office/drawing/2014/main" id="{9A5EBEEC-AEDB-4A24-9662-008883357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297143</xdr:colOff>
      <xdr:row>35</xdr:row>
      <xdr:rowOff>35235</xdr:rowOff>
    </xdr:from>
    <xdr:to>
      <xdr:col>19</xdr:col>
      <xdr:colOff>481263</xdr:colOff>
      <xdr:row>54</xdr:row>
      <xdr:rowOff>170446</xdr:rowOff>
    </xdr:to>
    <xdr:graphicFrame macro="">
      <xdr:nvGraphicFramePr>
        <xdr:cNvPr id="28" name="Chart 27">
          <a:extLst>
            <a:ext uri="{FF2B5EF4-FFF2-40B4-BE49-F238E27FC236}">
              <a16:creationId xmlns:a16="http://schemas.microsoft.com/office/drawing/2014/main" id="{4120B494-48F7-455D-962A-889390C30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589175</xdr:colOff>
      <xdr:row>6</xdr:row>
      <xdr:rowOff>177589</xdr:rowOff>
    </xdr:from>
    <xdr:to>
      <xdr:col>16</xdr:col>
      <xdr:colOff>471897</xdr:colOff>
      <xdr:row>11</xdr:row>
      <xdr:rowOff>39439</xdr:rowOff>
    </xdr:to>
    <mc:AlternateContent xmlns:mc="http://schemas.openxmlformats.org/markup-compatibility/2006" xmlns:a14="http://schemas.microsoft.com/office/drawing/2010/main">
      <mc:Choice Requires="a14">
        <xdr:graphicFrame macro="">
          <xdr:nvGraphicFramePr>
            <xdr:cNvPr id="27" name="Salesperson 1">
              <a:extLst>
                <a:ext uri="{FF2B5EF4-FFF2-40B4-BE49-F238E27FC236}">
                  <a16:creationId xmlns:a16="http://schemas.microsoft.com/office/drawing/2014/main" id="{2A71BB30-D488-4E45-80A4-CA302E4C542D}"/>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318386" y="1272293"/>
              <a:ext cx="2981671" cy="736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531815</xdr:colOff>
      <xdr:row>1</xdr:row>
      <xdr:rowOff>23567</xdr:rowOff>
    </xdr:from>
    <xdr:to>
      <xdr:col>11</xdr:col>
      <xdr:colOff>525888</xdr:colOff>
      <xdr:row>4</xdr:row>
      <xdr:rowOff>54989</xdr:rowOff>
    </xdr:to>
    <xdr:sp macro="" textlink="'Pivot table'!AE46">
      <xdr:nvSpPr>
        <xdr:cNvPr id="30" name="Rectangle: Rounded Corners 29">
          <a:extLst>
            <a:ext uri="{FF2B5EF4-FFF2-40B4-BE49-F238E27FC236}">
              <a16:creationId xmlns:a16="http://schemas.microsoft.com/office/drawing/2014/main" id="{3C41F3F1-23BA-491F-8A70-2673C0A5E57B}"/>
            </a:ext>
          </a:extLst>
        </xdr:cNvPr>
        <xdr:cNvSpPr/>
      </xdr:nvSpPr>
      <xdr:spPr>
        <a:xfrm>
          <a:off x="1755308" y="206018"/>
          <a:ext cx="5499791" cy="578774"/>
        </a:xfrm>
        <a:prstGeom prst="roundRect">
          <a:avLst>
            <a:gd name="adj" fmla="val 0"/>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Times New Roman" panose="02020603050405020304" pitchFamily="18" charset="0"/>
              <a:ea typeface="Calibri"/>
              <a:cs typeface="Times New Roman" panose="02020603050405020304" pitchFamily="18" charset="0"/>
            </a:rPr>
            <a:t>MZ Ecommerce Sales Dashboard</a:t>
          </a:r>
          <a:r>
            <a:rPr lang="en-US" sz="2400" b="1" i="0" u="none" strike="noStrike">
              <a:solidFill>
                <a:schemeClr val="accent5"/>
              </a:solidFill>
              <a:latin typeface="Times New Roman" panose="02020603050405020304" pitchFamily="18" charset="0"/>
              <a:ea typeface="Calibri"/>
              <a:cs typeface="Times New Roman" panose="02020603050405020304" pitchFamily="18" charset="0"/>
            </a:rPr>
            <a:t> </a:t>
          </a:r>
          <a:endParaRPr lang="en-IN" sz="2400" b="1">
            <a:solidFill>
              <a:schemeClr val="accent5"/>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128787</xdr:colOff>
      <xdr:row>6</xdr:row>
      <xdr:rowOff>171717</xdr:rowOff>
    </xdr:from>
    <xdr:to>
      <xdr:col>2</xdr:col>
      <xdr:colOff>343435</xdr:colOff>
      <xdr:row>10</xdr:row>
      <xdr:rowOff>10731</xdr:rowOff>
    </xdr:to>
    <xdr:sp macro="" textlink="">
      <xdr:nvSpPr>
        <xdr:cNvPr id="33" name="Rectangle: Rounded Corners 32">
          <a:hlinkClick xmlns:r="http://schemas.openxmlformats.org/officeDocument/2006/relationships" r:id="rId16"/>
          <a:extLst>
            <a:ext uri="{FF2B5EF4-FFF2-40B4-BE49-F238E27FC236}">
              <a16:creationId xmlns:a16="http://schemas.microsoft.com/office/drawing/2014/main" id="{6C888558-9C4F-5EDC-FA24-1B11C6502D43}"/>
            </a:ext>
          </a:extLst>
        </xdr:cNvPr>
        <xdr:cNvSpPr/>
      </xdr:nvSpPr>
      <xdr:spPr>
        <a:xfrm>
          <a:off x="128787" y="1266421"/>
          <a:ext cx="1438141" cy="5688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50" b="1">
              <a:solidFill>
                <a:sysClr val="windowText" lastClr="000000"/>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133895</xdr:colOff>
      <xdr:row>10</xdr:row>
      <xdr:rowOff>140425</xdr:rowOff>
    </xdr:from>
    <xdr:to>
      <xdr:col>2</xdr:col>
      <xdr:colOff>348543</xdr:colOff>
      <xdr:row>13</xdr:row>
      <xdr:rowOff>160869</xdr:rowOff>
    </xdr:to>
    <xdr:sp macro="" textlink="">
      <xdr:nvSpPr>
        <xdr:cNvPr id="39" name="Rectangle: Rounded Corners 38">
          <a:hlinkClick xmlns:r="http://schemas.openxmlformats.org/officeDocument/2006/relationships" r:id="rId17"/>
          <a:extLst>
            <a:ext uri="{FF2B5EF4-FFF2-40B4-BE49-F238E27FC236}">
              <a16:creationId xmlns:a16="http://schemas.microsoft.com/office/drawing/2014/main" id="{88B32C00-821F-4CD6-8AED-2DA621D74AED}"/>
            </a:ext>
          </a:extLst>
        </xdr:cNvPr>
        <xdr:cNvSpPr/>
      </xdr:nvSpPr>
      <xdr:spPr>
        <a:xfrm>
          <a:off x="133895" y="1969225"/>
          <a:ext cx="1433848" cy="5690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50" b="1">
              <a:latin typeface="Times New Roman" panose="02020603050405020304" pitchFamily="18" charset="0"/>
              <a:cs typeface="Times New Roman" panose="02020603050405020304" pitchFamily="18" charset="0"/>
            </a:rPr>
            <a:t>Customers</a:t>
          </a:r>
        </a:p>
      </xdr:txBody>
    </xdr:sp>
    <xdr:clientData/>
  </xdr:twoCellAnchor>
  <xdr:twoCellAnchor>
    <xdr:from>
      <xdr:col>0</xdr:col>
      <xdr:colOff>127000</xdr:colOff>
      <xdr:row>14</xdr:row>
      <xdr:rowOff>90714</xdr:rowOff>
    </xdr:from>
    <xdr:to>
      <xdr:col>2</xdr:col>
      <xdr:colOff>351910</xdr:colOff>
      <xdr:row>17</xdr:row>
      <xdr:rowOff>119685</xdr:rowOff>
    </xdr:to>
    <xdr:sp macro="" textlink="">
      <xdr:nvSpPr>
        <xdr:cNvPr id="40" name="Rectangle: Rounded Corners 39">
          <a:hlinkClick xmlns:r="http://schemas.openxmlformats.org/officeDocument/2006/relationships" r:id="rId18"/>
          <a:extLst>
            <a:ext uri="{FF2B5EF4-FFF2-40B4-BE49-F238E27FC236}">
              <a16:creationId xmlns:a16="http://schemas.microsoft.com/office/drawing/2014/main" id="{208098BD-702F-4FC8-8A18-6606CB374AC3}"/>
            </a:ext>
          </a:extLst>
        </xdr:cNvPr>
        <xdr:cNvSpPr/>
      </xdr:nvSpPr>
      <xdr:spPr>
        <a:xfrm>
          <a:off x="127000" y="2630714"/>
          <a:ext cx="1440481" cy="5732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950" b="1">
              <a:latin typeface="Times New Roman" panose="02020603050405020304" pitchFamily="18" charset="0"/>
              <a:cs typeface="Times New Roman" panose="02020603050405020304" pitchFamily="18" charset="0"/>
            </a:rPr>
            <a:t>About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114300</xdr:rowOff>
    </xdr:from>
    <xdr:to>
      <xdr:col>20</xdr:col>
      <xdr:colOff>30480</xdr:colOff>
      <xdr:row>55</xdr:row>
      <xdr:rowOff>111760</xdr:rowOff>
    </xdr:to>
    <xdr:sp macro="" textlink="">
      <xdr:nvSpPr>
        <xdr:cNvPr id="2" name="Rectangle 1">
          <a:extLst>
            <a:ext uri="{FF2B5EF4-FFF2-40B4-BE49-F238E27FC236}">
              <a16:creationId xmlns:a16="http://schemas.microsoft.com/office/drawing/2014/main" id="{66CCFEB5-A911-433A-8F8E-3CC8BD312CFB}"/>
            </a:ext>
          </a:extLst>
        </xdr:cNvPr>
        <xdr:cNvSpPr/>
      </xdr:nvSpPr>
      <xdr:spPr>
        <a:xfrm>
          <a:off x="121920" y="114300"/>
          <a:ext cx="12100560" cy="10055860"/>
        </a:xfrm>
        <a:prstGeom prst="rect">
          <a:avLst/>
        </a:prstGeom>
        <a:solidFill>
          <a:schemeClr val="tx2">
            <a:lumMod val="7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382557</xdr:colOff>
      <xdr:row>0</xdr:row>
      <xdr:rowOff>125691</xdr:rowOff>
    </xdr:from>
    <xdr:to>
      <xdr:col>19</xdr:col>
      <xdr:colOff>562478</xdr:colOff>
      <xdr:row>55</xdr:row>
      <xdr:rowOff>81280</xdr:rowOff>
    </xdr:to>
    <xdr:sp macro="" textlink="">
      <xdr:nvSpPr>
        <xdr:cNvPr id="3" name="Rectangle 2">
          <a:extLst>
            <a:ext uri="{FF2B5EF4-FFF2-40B4-BE49-F238E27FC236}">
              <a16:creationId xmlns:a16="http://schemas.microsoft.com/office/drawing/2014/main" id="{358CC828-B201-4FAA-B230-1DBC777E2E45}"/>
            </a:ext>
          </a:extLst>
        </xdr:cNvPr>
        <xdr:cNvSpPr/>
      </xdr:nvSpPr>
      <xdr:spPr>
        <a:xfrm>
          <a:off x="1605106" y="125691"/>
          <a:ext cx="10571592" cy="100876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25000"/>
              </a:schemeClr>
            </a:solidFill>
          </a:endParaRPr>
        </a:p>
      </xdr:txBody>
    </xdr:sp>
    <xdr:clientData/>
  </xdr:twoCellAnchor>
  <xdr:twoCellAnchor>
    <xdr:from>
      <xdr:col>0</xdr:col>
      <xdr:colOff>121921</xdr:colOff>
      <xdr:row>0</xdr:row>
      <xdr:rowOff>106680</xdr:rowOff>
    </xdr:from>
    <xdr:to>
      <xdr:col>2</xdr:col>
      <xdr:colOff>386172</xdr:colOff>
      <xdr:row>5</xdr:row>
      <xdr:rowOff>152400</xdr:rowOff>
    </xdr:to>
    <xdr:sp macro="" textlink="">
      <xdr:nvSpPr>
        <xdr:cNvPr id="4" name="Rectangle 3">
          <a:extLst>
            <a:ext uri="{FF2B5EF4-FFF2-40B4-BE49-F238E27FC236}">
              <a16:creationId xmlns:a16="http://schemas.microsoft.com/office/drawing/2014/main" id="{3088DD6C-7821-416F-B023-5B6A85AA7790}"/>
            </a:ext>
          </a:extLst>
        </xdr:cNvPr>
        <xdr:cNvSpPr/>
      </xdr:nvSpPr>
      <xdr:spPr>
        <a:xfrm>
          <a:off x="121921" y="106680"/>
          <a:ext cx="1483451" cy="96012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533399</xdr:colOff>
      <xdr:row>5</xdr:row>
      <xdr:rowOff>3577</xdr:rowOff>
    </xdr:from>
    <xdr:to>
      <xdr:col>11</xdr:col>
      <xdr:colOff>518999</xdr:colOff>
      <xdr:row>10</xdr:row>
      <xdr:rowOff>173467</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44D9028C-1E09-41AC-9C49-F5524FD1E15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42923" y="910720"/>
              <a:ext cx="5428457" cy="10770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589176</xdr:colOff>
      <xdr:row>0</xdr:row>
      <xdr:rowOff>121920</xdr:rowOff>
    </xdr:from>
    <xdr:to>
      <xdr:col>16</xdr:col>
      <xdr:colOff>516687</xdr:colOff>
      <xdr:row>6</xdr:row>
      <xdr:rowOff>127969</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C6D60214-2FE8-4F08-8B2E-7CC481D1655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241557" y="121920"/>
              <a:ext cx="2951320" cy="109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11</xdr:row>
      <xdr:rowOff>99060</xdr:rowOff>
    </xdr:from>
    <xdr:to>
      <xdr:col>19</xdr:col>
      <xdr:colOff>563054</xdr:colOff>
      <xdr:row>13</xdr:row>
      <xdr:rowOff>63500</xdr:rowOff>
    </xdr:to>
    <xdr:sp macro="" textlink="">
      <xdr:nvSpPr>
        <xdr:cNvPr id="7" name="Rectangle 6">
          <a:extLst>
            <a:ext uri="{FF2B5EF4-FFF2-40B4-BE49-F238E27FC236}">
              <a16:creationId xmlns:a16="http://schemas.microsoft.com/office/drawing/2014/main" id="{C535409E-3499-43C7-9497-45BF79517471}"/>
            </a:ext>
          </a:extLst>
        </xdr:cNvPr>
        <xdr:cNvSpPr/>
      </xdr:nvSpPr>
      <xdr:spPr>
        <a:xfrm>
          <a:off x="1752600" y="2110740"/>
          <a:ext cx="10392854" cy="33020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ANALYTICS</a:t>
          </a:r>
        </a:p>
      </xdr:txBody>
    </xdr:sp>
    <xdr:clientData/>
  </xdr:twoCellAnchor>
  <xdr:twoCellAnchor editAs="oneCell">
    <xdr:from>
      <xdr:col>9</xdr:col>
      <xdr:colOff>408940</xdr:colOff>
      <xdr:row>11</xdr:row>
      <xdr:rowOff>71120</xdr:rowOff>
    </xdr:from>
    <xdr:to>
      <xdr:col>10</xdr:col>
      <xdr:colOff>223520</xdr:colOff>
      <xdr:row>13</xdr:row>
      <xdr:rowOff>129540</xdr:rowOff>
    </xdr:to>
    <xdr:pic>
      <xdr:nvPicPr>
        <xdr:cNvPr id="8" name="Graphic 7" descr="Bar chart with solid fill">
          <a:extLst>
            <a:ext uri="{FF2B5EF4-FFF2-40B4-BE49-F238E27FC236}">
              <a16:creationId xmlns:a16="http://schemas.microsoft.com/office/drawing/2014/main" id="{59D334DE-82B6-4EAD-AB6F-CB1DDD1FC4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95340" y="2082800"/>
          <a:ext cx="424180" cy="424180"/>
        </a:xfrm>
        <a:prstGeom prst="rect">
          <a:avLst/>
        </a:prstGeom>
      </xdr:spPr>
    </xdr:pic>
    <xdr:clientData/>
  </xdr:twoCellAnchor>
  <xdr:twoCellAnchor>
    <xdr:from>
      <xdr:col>16</xdr:col>
      <xdr:colOff>568960</xdr:colOff>
      <xdr:row>0</xdr:row>
      <xdr:rowOff>109220</xdr:rowOff>
    </xdr:from>
    <xdr:to>
      <xdr:col>19</xdr:col>
      <xdr:colOff>576147</xdr:colOff>
      <xdr:row>11</xdr:row>
      <xdr:rowOff>0</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84B319A9-B6A1-4EA9-BD5A-628978FD79C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245150" y="109220"/>
              <a:ext cx="1821473" cy="1886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536388</xdr:colOff>
      <xdr:row>14</xdr:row>
      <xdr:rowOff>40640</xdr:rowOff>
    </xdr:from>
    <xdr:to>
      <xdr:col>6</xdr:col>
      <xdr:colOff>566868</xdr:colOff>
      <xdr:row>19</xdr:row>
      <xdr:rowOff>40640</xdr:rowOff>
    </xdr:to>
    <xdr:sp macro="" textlink="">
      <xdr:nvSpPr>
        <xdr:cNvPr id="10" name="Rectangle: Rounded Corners 9">
          <a:extLst>
            <a:ext uri="{FF2B5EF4-FFF2-40B4-BE49-F238E27FC236}">
              <a16:creationId xmlns:a16="http://schemas.microsoft.com/office/drawing/2014/main" id="{DDE6B6BE-26F1-457F-B766-7B91C12830C5}"/>
            </a:ext>
          </a:extLst>
        </xdr:cNvPr>
        <xdr:cNvSpPr/>
      </xdr:nvSpPr>
      <xdr:spPr>
        <a:xfrm>
          <a:off x="1755588" y="2600960"/>
          <a:ext cx="2468880"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487231</xdr:colOff>
      <xdr:row>14</xdr:row>
      <xdr:rowOff>47065</xdr:rowOff>
    </xdr:from>
    <xdr:to>
      <xdr:col>6</xdr:col>
      <xdr:colOff>548191</xdr:colOff>
      <xdr:row>19</xdr:row>
      <xdr:rowOff>36905</xdr:rowOff>
    </xdr:to>
    <xdr:sp macro="" textlink="">
      <xdr:nvSpPr>
        <xdr:cNvPr id="11" name="Rectangle: Rounded Corners 10">
          <a:extLst>
            <a:ext uri="{FF2B5EF4-FFF2-40B4-BE49-F238E27FC236}">
              <a16:creationId xmlns:a16="http://schemas.microsoft.com/office/drawing/2014/main" id="{071294D4-3425-4D03-AC85-60A1EC4A5A7D}"/>
            </a:ext>
          </a:extLst>
        </xdr:cNvPr>
        <xdr:cNvSpPr/>
      </xdr:nvSpPr>
      <xdr:spPr>
        <a:xfrm>
          <a:off x="2316031" y="2607385"/>
          <a:ext cx="1889760" cy="90424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70C0"/>
              </a:solidFill>
              <a:latin typeface="Times New Roman" panose="02020603050405020304" pitchFamily="18" charset="0"/>
              <a:cs typeface="Times New Roman" panose="02020603050405020304" pitchFamily="18" charset="0"/>
            </a:rPr>
            <a:t>TOTAL</a:t>
          </a:r>
          <a:r>
            <a:rPr lang="en-IN" sz="1800" b="1" baseline="0">
              <a:solidFill>
                <a:srgbClr val="0070C0"/>
              </a:solidFill>
              <a:latin typeface="Times New Roman" panose="02020603050405020304" pitchFamily="18" charset="0"/>
              <a:cs typeface="Times New Roman" panose="02020603050405020304" pitchFamily="18" charset="0"/>
            </a:rPr>
            <a:t> SALES</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497840</xdr:colOff>
      <xdr:row>14</xdr:row>
      <xdr:rowOff>111759</xdr:rowOff>
    </xdr:from>
    <xdr:to>
      <xdr:col>3</xdr:col>
      <xdr:colOff>558800</xdr:colOff>
      <xdr:row>18</xdr:row>
      <xdr:rowOff>121662</xdr:rowOff>
    </xdr:to>
    <xdr:pic>
      <xdr:nvPicPr>
        <xdr:cNvPr id="12" name="Graphic 11" descr="Upward trend with solid fill">
          <a:extLst>
            <a:ext uri="{FF2B5EF4-FFF2-40B4-BE49-F238E27FC236}">
              <a16:creationId xmlns:a16="http://schemas.microsoft.com/office/drawing/2014/main" id="{16501F42-C630-48C6-BA6F-7EECF37BE1D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17040" y="2672079"/>
          <a:ext cx="670560" cy="741423"/>
        </a:xfrm>
        <a:prstGeom prst="rect">
          <a:avLst/>
        </a:prstGeom>
      </xdr:spPr>
    </xdr:pic>
    <xdr:clientData/>
  </xdr:twoCellAnchor>
  <xdr:twoCellAnchor>
    <xdr:from>
      <xdr:col>3</xdr:col>
      <xdr:colOff>506768</xdr:colOff>
      <xdr:row>16</xdr:row>
      <xdr:rowOff>151389</xdr:rowOff>
    </xdr:from>
    <xdr:to>
      <xdr:col>6</xdr:col>
      <xdr:colOff>537248</xdr:colOff>
      <xdr:row>19</xdr:row>
      <xdr:rowOff>21590</xdr:rowOff>
    </xdr:to>
    <xdr:sp macro="" textlink="'Pivot table'!B28">
      <xdr:nvSpPr>
        <xdr:cNvPr id="13" name="Rectangle: Rounded Corners 12">
          <a:extLst>
            <a:ext uri="{FF2B5EF4-FFF2-40B4-BE49-F238E27FC236}">
              <a16:creationId xmlns:a16="http://schemas.microsoft.com/office/drawing/2014/main" id="{E95163AD-61E7-4B98-A854-E504F9270846}"/>
            </a:ext>
          </a:extLst>
        </xdr:cNvPr>
        <xdr:cNvSpPr/>
      </xdr:nvSpPr>
      <xdr:spPr>
        <a:xfrm>
          <a:off x="2346078" y="3094286"/>
          <a:ext cx="1869791" cy="421994"/>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280DC2-96FA-48AD-82EC-EF235C89A0EE}"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12,27,700</a:t>
          </a:fld>
          <a:endParaRPr lang="en-IN" sz="2000" b="1">
            <a:solidFill>
              <a:schemeClr val="accent5"/>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106513</xdr:colOff>
      <xdr:row>14</xdr:row>
      <xdr:rowOff>24343</xdr:rowOff>
    </xdr:from>
    <xdr:to>
      <xdr:col>11</xdr:col>
      <xdr:colOff>136751</xdr:colOff>
      <xdr:row>19</xdr:row>
      <xdr:rowOff>24343</xdr:rowOff>
    </xdr:to>
    <xdr:sp macro="" textlink="">
      <xdr:nvSpPr>
        <xdr:cNvPr id="14" name="Rectangle: Rounded Corners 13">
          <a:extLst>
            <a:ext uri="{FF2B5EF4-FFF2-40B4-BE49-F238E27FC236}">
              <a16:creationId xmlns:a16="http://schemas.microsoft.com/office/drawing/2014/main" id="{A222210C-D161-4874-9632-EEBB0E6401C8}"/>
            </a:ext>
          </a:extLst>
        </xdr:cNvPr>
        <xdr:cNvSpPr/>
      </xdr:nvSpPr>
      <xdr:spPr>
        <a:xfrm>
          <a:off x="4373713" y="2584663"/>
          <a:ext cx="2468638"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97853</xdr:colOff>
      <xdr:row>16</xdr:row>
      <xdr:rowOff>127269</xdr:rowOff>
    </xdr:from>
    <xdr:to>
      <xdr:col>11</xdr:col>
      <xdr:colOff>129081</xdr:colOff>
      <xdr:row>19</xdr:row>
      <xdr:rowOff>15234</xdr:rowOff>
    </xdr:to>
    <xdr:sp macro="" textlink="'Pivot table'!B36">
      <xdr:nvSpPr>
        <xdr:cNvPr id="15" name="Rectangle: Rounded Corners 14">
          <a:extLst>
            <a:ext uri="{FF2B5EF4-FFF2-40B4-BE49-F238E27FC236}">
              <a16:creationId xmlns:a16="http://schemas.microsoft.com/office/drawing/2014/main" id="{76C9414D-FB30-420C-B0E4-F56794A5E07B}"/>
            </a:ext>
          </a:extLst>
        </xdr:cNvPr>
        <xdr:cNvSpPr/>
      </xdr:nvSpPr>
      <xdr:spPr>
        <a:xfrm>
          <a:off x="4974653" y="3053349"/>
          <a:ext cx="1860028" cy="436605"/>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B15A156-A890-4AA9-8258-1F60126E9CD0}"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1,67,950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97155</xdr:colOff>
      <xdr:row>14</xdr:row>
      <xdr:rowOff>27901</xdr:rowOff>
    </xdr:from>
    <xdr:to>
      <xdr:col>11</xdr:col>
      <xdr:colOff>134143</xdr:colOff>
      <xdr:row>16</xdr:row>
      <xdr:rowOff>110490</xdr:rowOff>
    </xdr:to>
    <xdr:sp macro="" textlink="">
      <xdr:nvSpPr>
        <xdr:cNvPr id="16" name="Rectangle: Rounded Corners 15">
          <a:extLst>
            <a:ext uri="{FF2B5EF4-FFF2-40B4-BE49-F238E27FC236}">
              <a16:creationId xmlns:a16="http://schemas.microsoft.com/office/drawing/2014/main" id="{FCD0C93F-B7B5-48A3-BA40-7FD20CA8100C}"/>
            </a:ext>
          </a:extLst>
        </xdr:cNvPr>
        <xdr:cNvSpPr/>
      </xdr:nvSpPr>
      <xdr:spPr>
        <a:xfrm>
          <a:off x="4973955" y="2588221"/>
          <a:ext cx="1865788" cy="448349"/>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50" b="1">
              <a:solidFill>
                <a:srgbClr val="0070C0"/>
              </a:solidFill>
              <a:latin typeface="Times New Roman" panose="02020603050405020304" pitchFamily="18" charset="0"/>
              <a:cs typeface="Times New Roman" panose="02020603050405020304" pitchFamily="18" charset="0"/>
            </a:rPr>
            <a:t>TOTAL</a:t>
          </a:r>
          <a:r>
            <a:rPr lang="en-IN" sz="1750" b="1" baseline="0">
              <a:solidFill>
                <a:srgbClr val="0070C0"/>
              </a:solidFill>
              <a:latin typeface="Times New Roman" panose="02020603050405020304" pitchFamily="18" charset="0"/>
              <a:cs typeface="Times New Roman" panose="02020603050405020304" pitchFamily="18" charset="0"/>
            </a:rPr>
            <a:t> PROFIT</a:t>
          </a:r>
          <a:endParaRPr lang="en-IN" sz="175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310109</xdr:colOff>
      <xdr:row>14</xdr:row>
      <xdr:rowOff>50855</xdr:rowOff>
    </xdr:from>
    <xdr:to>
      <xdr:col>15</xdr:col>
      <xdr:colOff>340589</xdr:colOff>
      <xdr:row>19</xdr:row>
      <xdr:rowOff>50855</xdr:rowOff>
    </xdr:to>
    <xdr:sp macro="" textlink="">
      <xdr:nvSpPr>
        <xdr:cNvPr id="17" name="Rectangle: Rounded Corners 16">
          <a:extLst>
            <a:ext uri="{FF2B5EF4-FFF2-40B4-BE49-F238E27FC236}">
              <a16:creationId xmlns:a16="http://schemas.microsoft.com/office/drawing/2014/main" id="{05429329-7BB4-406E-8AF2-A8416851D05F}"/>
            </a:ext>
          </a:extLst>
        </xdr:cNvPr>
        <xdr:cNvSpPr/>
      </xdr:nvSpPr>
      <xdr:spPr>
        <a:xfrm>
          <a:off x="7015709" y="2611175"/>
          <a:ext cx="2468880"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492541</xdr:colOff>
      <xdr:row>14</xdr:row>
      <xdr:rowOff>54946</xdr:rowOff>
    </xdr:from>
    <xdr:to>
      <xdr:col>19</xdr:col>
      <xdr:colOff>523022</xdr:colOff>
      <xdr:row>19</xdr:row>
      <xdr:rowOff>54946</xdr:rowOff>
    </xdr:to>
    <xdr:sp macro="" textlink="">
      <xdr:nvSpPr>
        <xdr:cNvPr id="18" name="Rectangle: Rounded Corners 17">
          <a:extLst>
            <a:ext uri="{FF2B5EF4-FFF2-40B4-BE49-F238E27FC236}">
              <a16:creationId xmlns:a16="http://schemas.microsoft.com/office/drawing/2014/main" id="{F9E457BC-3605-4C29-B6D1-8AF4DE99E0CD}"/>
            </a:ext>
          </a:extLst>
        </xdr:cNvPr>
        <xdr:cNvSpPr/>
      </xdr:nvSpPr>
      <xdr:spPr>
        <a:xfrm>
          <a:off x="9636541" y="2615266"/>
          <a:ext cx="2468881"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265432</xdr:colOff>
      <xdr:row>14</xdr:row>
      <xdr:rowOff>59053</xdr:rowOff>
    </xdr:from>
    <xdr:to>
      <xdr:col>15</xdr:col>
      <xdr:colOff>327140</xdr:colOff>
      <xdr:row>19</xdr:row>
      <xdr:rowOff>48893</xdr:rowOff>
    </xdr:to>
    <xdr:sp macro="" textlink="">
      <xdr:nvSpPr>
        <xdr:cNvPr id="19" name="Rectangle: Rounded Corners 18">
          <a:extLst>
            <a:ext uri="{FF2B5EF4-FFF2-40B4-BE49-F238E27FC236}">
              <a16:creationId xmlns:a16="http://schemas.microsoft.com/office/drawing/2014/main" id="{D811D70F-C445-4AB1-941F-E309C1F24B03}"/>
            </a:ext>
          </a:extLst>
        </xdr:cNvPr>
        <xdr:cNvSpPr/>
      </xdr:nvSpPr>
      <xdr:spPr>
        <a:xfrm>
          <a:off x="7580632" y="2619373"/>
          <a:ext cx="1890508" cy="90424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70C0"/>
              </a:solidFill>
              <a:latin typeface="Times New Roman" panose="02020603050405020304" pitchFamily="18" charset="0"/>
              <a:cs typeface="Times New Roman" panose="02020603050405020304" pitchFamily="18" charset="0"/>
            </a:rPr>
            <a:t>TOTAL</a:t>
          </a:r>
          <a:r>
            <a:rPr lang="en-IN" sz="1800" b="1" baseline="0">
              <a:solidFill>
                <a:srgbClr val="0070C0"/>
              </a:solidFill>
              <a:latin typeface="Times New Roman" panose="02020603050405020304" pitchFamily="18" charset="0"/>
              <a:cs typeface="Times New Roman" panose="02020603050405020304" pitchFamily="18" charset="0"/>
            </a:rPr>
            <a:t> UNITS</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455233</xdr:colOff>
      <xdr:row>14</xdr:row>
      <xdr:rowOff>58814</xdr:rowOff>
    </xdr:from>
    <xdr:to>
      <xdr:col>19</xdr:col>
      <xdr:colOff>516942</xdr:colOff>
      <xdr:row>19</xdr:row>
      <xdr:rowOff>48654</xdr:rowOff>
    </xdr:to>
    <xdr:sp macro="" textlink="">
      <xdr:nvSpPr>
        <xdr:cNvPr id="20" name="Rectangle: Rounded Corners 19">
          <a:extLst>
            <a:ext uri="{FF2B5EF4-FFF2-40B4-BE49-F238E27FC236}">
              <a16:creationId xmlns:a16="http://schemas.microsoft.com/office/drawing/2014/main" id="{257B94A3-B667-415B-9D50-8B4426D164FA}"/>
            </a:ext>
          </a:extLst>
        </xdr:cNvPr>
        <xdr:cNvSpPr/>
      </xdr:nvSpPr>
      <xdr:spPr>
        <a:xfrm>
          <a:off x="10208833" y="2619134"/>
          <a:ext cx="1890509" cy="90424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rgbClr val="0070C0"/>
              </a:solidFill>
              <a:latin typeface="Times New Roman" panose="02020603050405020304" pitchFamily="18" charset="0"/>
              <a:cs typeface="Times New Roman" panose="02020603050405020304" pitchFamily="18" charset="0"/>
            </a:rPr>
            <a:t>QUANTITY</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282750</xdr:colOff>
      <xdr:row>16</xdr:row>
      <xdr:rowOff>139959</xdr:rowOff>
    </xdr:from>
    <xdr:to>
      <xdr:col>15</xdr:col>
      <xdr:colOff>313978</xdr:colOff>
      <xdr:row>19</xdr:row>
      <xdr:rowOff>55095</xdr:rowOff>
    </xdr:to>
    <xdr:sp macro="" textlink="'Pivot table'!B44">
      <xdr:nvSpPr>
        <xdr:cNvPr id="21" name="Rectangle: Rounded Corners 20">
          <a:extLst>
            <a:ext uri="{FF2B5EF4-FFF2-40B4-BE49-F238E27FC236}">
              <a16:creationId xmlns:a16="http://schemas.microsoft.com/office/drawing/2014/main" id="{A6E9D743-A8AF-4951-92ED-01091427AD3D}"/>
            </a:ext>
          </a:extLst>
        </xdr:cNvPr>
        <xdr:cNvSpPr/>
      </xdr:nvSpPr>
      <xdr:spPr>
        <a:xfrm>
          <a:off x="7597950" y="3066039"/>
          <a:ext cx="1860028" cy="463776"/>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E50E89F-42C9-476B-8FA7-392024841965}"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1,67,950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468222</xdr:colOff>
      <xdr:row>16</xdr:row>
      <xdr:rowOff>132185</xdr:rowOff>
    </xdr:from>
    <xdr:to>
      <xdr:col>19</xdr:col>
      <xdr:colOff>499451</xdr:colOff>
      <xdr:row>19</xdr:row>
      <xdr:rowOff>54858</xdr:rowOff>
    </xdr:to>
    <xdr:sp macro="" textlink="'Pivot table'!B41">
      <xdr:nvSpPr>
        <xdr:cNvPr id="22" name="Rectangle: Rounded Corners 21">
          <a:extLst>
            <a:ext uri="{FF2B5EF4-FFF2-40B4-BE49-F238E27FC236}">
              <a16:creationId xmlns:a16="http://schemas.microsoft.com/office/drawing/2014/main" id="{EFCB6819-0813-422E-A8DD-8BEC654D0236}"/>
            </a:ext>
          </a:extLst>
        </xdr:cNvPr>
        <xdr:cNvSpPr/>
      </xdr:nvSpPr>
      <xdr:spPr>
        <a:xfrm>
          <a:off x="10221822" y="3058265"/>
          <a:ext cx="1860029" cy="471313"/>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08697E9-B32B-4877-9D14-4495075F0BD9}" type="TxLink">
            <a:rPr lang="en-US" sz="1800" b="1" baseline="0">
              <a:solidFill>
                <a:schemeClr val="tx1"/>
              </a:solidFill>
              <a:latin typeface="Times New Roman" panose="02020603050405020304" pitchFamily="18" charset="0"/>
              <a:ea typeface="+mn-ea"/>
              <a:cs typeface="Times New Roman" panose="02020603050405020304" pitchFamily="18" charset="0"/>
            </a:rPr>
            <a:pPr marL="0" indent="0" algn="ctr"/>
            <a:t>717</a:t>
          </a:fld>
          <a:endParaRPr lang="en-IN" sz="1800" b="1" baseline="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7</xdr:col>
      <xdr:colOff>63944</xdr:colOff>
      <xdr:row>14</xdr:row>
      <xdr:rowOff>100752</xdr:rowOff>
    </xdr:from>
    <xdr:to>
      <xdr:col>8</xdr:col>
      <xdr:colOff>83243</xdr:colOff>
      <xdr:row>18</xdr:row>
      <xdr:rowOff>140874</xdr:rowOff>
    </xdr:to>
    <xdr:pic>
      <xdr:nvPicPr>
        <xdr:cNvPr id="23" name="Graphic 22" descr="Bar graph with upward trend with solid fill">
          <a:extLst>
            <a:ext uri="{FF2B5EF4-FFF2-40B4-BE49-F238E27FC236}">
              <a16:creationId xmlns:a16="http://schemas.microsoft.com/office/drawing/2014/main" id="{42457A4B-4ADF-4BD8-8026-983F64F99CF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31144" y="2661072"/>
          <a:ext cx="628899" cy="771642"/>
        </a:xfrm>
        <a:prstGeom prst="rect">
          <a:avLst/>
        </a:prstGeom>
      </xdr:spPr>
    </xdr:pic>
    <xdr:clientData/>
  </xdr:twoCellAnchor>
  <xdr:twoCellAnchor editAs="oneCell">
    <xdr:from>
      <xdr:col>15</xdr:col>
      <xdr:colOff>454926</xdr:colOff>
      <xdr:row>14</xdr:row>
      <xdr:rowOff>132646</xdr:rowOff>
    </xdr:from>
    <xdr:to>
      <xdr:col>16</xdr:col>
      <xdr:colOff>506104</xdr:colOff>
      <xdr:row>18</xdr:row>
      <xdr:rowOff>132522</xdr:rowOff>
    </xdr:to>
    <xdr:pic>
      <xdr:nvPicPr>
        <xdr:cNvPr id="24" name="Graphic 23" descr="Bar chart with solid fill">
          <a:extLst>
            <a:ext uri="{FF2B5EF4-FFF2-40B4-BE49-F238E27FC236}">
              <a16:creationId xmlns:a16="http://schemas.microsoft.com/office/drawing/2014/main" id="{27A93261-5113-4E94-8BA1-DCAD0B9661C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98926" y="2692966"/>
          <a:ext cx="660778" cy="731396"/>
        </a:xfrm>
        <a:prstGeom prst="rect">
          <a:avLst/>
        </a:prstGeom>
      </xdr:spPr>
    </xdr:pic>
    <xdr:clientData/>
  </xdr:twoCellAnchor>
  <xdr:twoCellAnchor editAs="oneCell">
    <xdr:from>
      <xdr:col>11</xdr:col>
      <xdr:colOff>259178</xdr:colOff>
      <xdr:row>14</xdr:row>
      <xdr:rowOff>140660</xdr:rowOff>
    </xdr:from>
    <xdr:to>
      <xdr:col>12</xdr:col>
      <xdr:colOff>326571</xdr:colOff>
      <xdr:row>18</xdr:row>
      <xdr:rowOff>132522</xdr:rowOff>
    </xdr:to>
    <xdr:pic>
      <xdr:nvPicPr>
        <xdr:cNvPr id="25" name="Graphic 24" descr="Presentation with bar chart with solid fill">
          <a:extLst>
            <a:ext uri="{FF2B5EF4-FFF2-40B4-BE49-F238E27FC236}">
              <a16:creationId xmlns:a16="http://schemas.microsoft.com/office/drawing/2014/main" id="{B3A374AB-CC80-4BAE-8DC1-5C63BEF3A60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64778" y="2700980"/>
          <a:ext cx="676993" cy="723382"/>
        </a:xfrm>
        <a:prstGeom prst="rect">
          <a:avLst/>
        </a:prstGeom>
      </xdr:spPr>
    </xdr:pic>
    <xdr:clientData/>
  </xdr:twoCellAnchor>
  <xdr:twoCellAnchor editAs="oneCell">
    <xdr:from>
      <xdr:col>11</xdr:col>
      <xdr:colOff>589175</xdr:colOff>
      <xdr:row>6</xdr:row>
      <xdr:rowOff>177589</xdr:rowOff>
    </xdr:from>
    <xdr:to>
      <xdr:col>16</xdr:col>
      <xdr:colOff>512113</xdr:colOff>
      <xdr:row>11</xdr:row>
      <xdr:rowOff>1339</xdr:rowOff>
    </xdr:to>
    <mc:AlternateContent xmlns:mc="http://schemas.openxmlformats.org/markup-compatibility/2006" xmlns:a14="http://schemas.microsoft.com/office/drawing/2010/main">
      <mc:Choice Requires="a14">
        <xdr:graphicFrame macro="">
          <xdr:nvGraphicFramePr>
            <xdr:cNvPr id="30" name="Salesperson 2">
              <a:extLst>
                <a:ext uri="{FF2B5EF4-FFF2-40B4-BE49-F238E27FC236}">
                  <a16:creationId xmlns:a16="http://schemas.microsoft.com/office/drawing/2014/main" id="{CFE35077-C429-460E-9F7A-EB7AEC027542}"/>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7241556" y="1266160"/>
              <a:ext cx="2946747" cy="730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531814</xdr:colOff>
      <xdr:row>1</xdr:row>
      <xdr:rowOff>23567</xdr:rowOff>
    </xdr:from>
    <xdr:to>
      <xdr:col>11</xdr:col>
      <xdr:colOff>516758</xdr:colOff>
      <xdr:row>4</xdr:row>
      <xdr:rowOff>54989</xdr:rowOff>
    </xdr:to>
    <xdr:sp macro="" textlink="'Pivot table'!AE46">
      <xdr:nvSpPr>
        <xdr:cNvPr id="31" name="Rectangle: Rounded Corners 30">
          <a:extLst>
            <a:ext uri="{FF2B5EF4-FFF2-40B4-BE49-F238E27FC236}">
              <a16:creationId xmlns:a16="http://schemas.microsoft.com/office/drawing/2014/main" id="{09B01EC4-649F-455F-AAAB-1D1EB93A26B9}"/>
            </a:ext>
          </a:extLst>
        </xdr:cNvPr>
        <xdr:cNvSpPr/>
      </xdr:nvSpPr>
      <xdr:spPr>
        <a:xfrm>
          <a:off x="1758021" y="207498"/>
          <a:ext cx="5502875" cy="583215"/>
        </a:xfrm>
        <a:prstGeom prst="roundRect">
          <a:avLst>
            <a:gd name="adj" fmla="val 0"/>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Times New Roman" panose="02020603050405020304" pitchFamily="18" charset="0"/>
              <a:ea typeface="Calibri"/>
              <a:cs typeface="Times New Roman" panose="02020603050405020304" pitchFamily="18" charset="0"/>
            </a:rPr>
            <a:t>MZ Ecommerce Sales Dashboard</a:t>
          </a:r>
          <a:r>
            <a:rPr lang="en-US" sz="2400" b="1" i="0" u="none" strike="noStrike">
              <a:solidFill>
                <a:schemeClr val="accent5"/>
              </a:solidFill>
              <a:latin typeface="Times New Roman" panose="02020603050405020304" pitchFamily="18" charset="0"/>
              <a:ea typeface="Calibri"/>
              <a:cs typeface="Times New Roman" panose="02020603050405020304" pitchFamily="18" charset="0"/>
            </a:rPr>
            <a:t> </a:t>
          </a:r>
          <a:endParaRPr lang="en-IN" sz="2400" b="1">
            <a:solidFill>
              <a:schemeClr val="accent5"/>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144152</xdr:colOff>
      <xdr:row>11</xdr:row>
      <xdr:rowOff>40838</xdr:rowOff>
    </xdr:from>
    <xdr:to>
      <xdr:col>2</xdr:col>
      <xdr:colOff>358426</xdr:colOff>
      <xdr:row>14</xdr:row>
      <xdr:rowOff>62302</xdr:rowOff>
    </xdr:to>
    <xdr:sp macro="" textlink="">
      <xdr:nvSpPr>
        <xdr:cNvPr id="32" name="Rectangle: Rounded Corners 31">
          <a:hlinkClick xmlns:r="http://schemas.openxmlformats.org/officeDocument/2006/relationships" r:id="rId12"/>
          <a:extLst>
            <a:ext uri="{FF2B5EF4-FFF2-40B4-BE49-F238E27FC236}">
              <a16:creationId xmlns:a16="http://schemas.microsoft.com/office/drawing/2014/main" id="{BBDA5ED6-E5A1-446D-AE00-B1498D8C42AC}"/>
            </a:ext>
          </a:extLst>
        </xdr:cNvPr>
        <xdr:cNvSpPr/>
      </xdr:nvSpPr>
      <xdr:spPr>
        <a:xfrm>
          <a:off x="144152" y="2052518"/>
          <a:ext cx="1433474" cy="57010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50" b="1">
              <a:solidFill>
                <a:sysClr val="windowText" lastClr="000000"/>
              </a:solidFill>
              <a:latin typeface="Times New Roman" panose="02020603050405020304" pitchFamily="18" charset="0"/>
              <a:cs typeface="Times New Roman" panose="02020603050405020304" pitchFamily="18" charset="0"/>
            </a:rPr>
            <a:t>Customer</a:t>
          </a:r>
        </a:p>
      </xdr:txBody>
    </xdr:sp>
    <xdr:clientData/>
  </xdr:twoCellAnchor>
  <xdr:twoCellAnchor>
    <xdr:from>
      <xdr:col>0</xdr:col>
      <xdr:colOff>152434</xdr:colOff>
      <xdr:row>7</xdr:row>
      <xdr:rowOff>59392</xdr:rowOff>
    </xdr:from>
    <xdr:to>
      <xdr:col>2</xdr:col>
      <xdr:colOff>367082</xdr:colOff>
      <xdr:row>10</xdr:row>
      <xdr:rowOff>80856</xdr:rowOff>
    </xdr:to>
    <xdr:sp macro="" textlink="">
      <xdr:nvSpPr>
        <xdr:cNvPr id="33" name="Rectangle: Rounded Corners 32">
          <a:hlinkClick xmlns:r="http://schemas.openxmlformats.org/officeDocument/2006/relationships" r:id="rId13"/>
          <a:extLst>
            <a:ext uri="{FF2B5EF4-FFF2-40B4-BE49-F238E27FC236}">
              <a16:creationId xmlns:a16="http://schemas.microsoft.com/office/drawing/2014/main" id="{6DEB8735-4ACC-4BEB-BE16-9B209D15EC5C}"/>
            </a:ext>
          </a:extLst>
        </xdr:cNvPr>
        <xdr:cNvSpPr/>
      </xdr:nvSpPr>
      <xdr:spPr>
        <a:xfrm>
          <a:off x="152434" y="1339552"/>
          <a:ext cx="1433848" cy="570104"/>
        </a:xfrm>
        <a:prstGeom prst="roundRect">
          <a:avLst>
            <a:gd name="adj" fmla="val 1399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50" b="1">
              <a:latin typeface="Times New Roman" panose="02020603050405020304" pitchFamily="18" charset="0"/>
              <a:cs typeface="Times New Roman" panose="02020603050405020304" pitchFamily="18" charset="0"/>
            </a:rPr>
            <a:t>Dashboard</a:t>
          </a:r>
        </a:p>
      </xdr:txBody>
    </xdr:sp>
    <xdr:clientData/>
  </xdr:twoCellAnchor>
  <xdr:twoCellAnchor editAs="oneCell">
    <xdr:from>
      <xdr:col>2</xdr:col>
      <xdr:colOff>501438</xdr:colOff>
      <xdr:row>19</xdr:row>
      <xdr:rowOff>166628</xdr:rowOff>
    </xdr:from>
    <xdr:to>
      <xdr:col>17</xdr:col>
      <xdr:colOff>33495</xdr:colOff>
      <xdr:row>24</xdr:row>
      <xdr:rowOff>0</xdr:rowOff>
    </xdr:to>
    <mc:AlternateContent xmlns:mc="http://schemas.openxmlformats.org/markup-compatibility/2006" xmlns:a14="http://schemas.microsoft.com/office/drawing/2010/main">
      <mc:Choice Requires="a14">
        <xdr:graphicFrame macro="">
          <xdr:nvGraphicFramePr>
            <xdr:cNvPr id="35" name="Product 2">
              <a:extLst>
                <a:ext uri="{FF2B5EF4-FFF2-40B4-BE49-F238E27FC236}">
                  <a16:creationId xmlns:a16="http://schemas.microsoft.com/office/drawing/2014/main" id="{937FB41A-8C63-4811-8585-7C991CFB34B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710962" y="3613771"/>
              <a:ext cx="8603485" cy="740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106227</xdr:colOff>
      <xdr:row>19</xdr:row>
      <xdr:rowOff>125691</xdr:rowOff>
    </xdr:from>
    <xdr:to>
      <xdr:col>19</xdr:col>
      <xdr:colOff>503677</xdr:colOff>
      <xdr:row>53</xdr:row>
      <xdr:rowOff>16748</xdr:rowOff>
    </xdr:to>
    <mc:AlternateContent xmlns:mc="http://schemas.openxmlformats.org/markup-compatibility/2006" xmlns:a14="http://schemas.microsoft.com/office/drawing/2010/main">
      <mc:Choice Requires="a14">
        <xdr:graphicFrame macro="">
          <xdr:nvGraphicFramePr>
            <xdr:cNvPr id="36" name="Customer_Name 1">
              <a:extLst>
                <a:ext uri="{FF2B5EF4-FFF2-40B4-BE49-F238E27FC236}">
                  <a16:creationId xmlns:a16="http://schemas.microsoft.com/office/drawing/2014/main" id="{AD68DF2A-479C-4F2C-AD55-26A4E27ED72F}"/>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10387179" y="3572834"/>
              <a:ext cx="1606974" cy="6059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520318</xdr:colOff>
      <xdr:row>24</xdr:row>
      <xdr:rowOff>93650</xdr:rowOff>
    </xdr:from>
    <xdr:to>
      <xdr:col>9</xdr:col>
      <xdr:colOff>499242</xdr:colOff>
      <xdr:row>40</xdr:row>
      <xdr:rowOff>118771</xdr:rowOff>
    </xdr:to>
    <xdr:graphicFrame macro="">
      <xdr:nvGraphicFramePr>
        <xdr:cNvPr id="38" name="Chart 37">
          <a:extLst>
            <a:ext uri="{FF2B5EF4-FFF2-40B4-BE49-F238E27FC236}">
              <a16:creationId xmlns:a16="http://schemas.microsoft.com/office/drawing/2014/main" id="{C9F0DB41-6C9F-498A-A365-C9AA3D82A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594946</xdr:colOff>
      <xdr:row>24</xdr:row>
      <xdr:rowOff>102878</xdr:rowOff>
    </xdr:from>
    <xdr:to>
      <xdr:col>17</xdr:col>
      <xdr:colOff>31330</xdr:colOff>
      <xdr:row>36</xdr:row>
      <xdr:rowOff>94419</xdr:rowOff>
    </xdr:to>
    <xdr:graphicFrame macro="">
      <xdr:nvGraphicFramePr>
        <xdr:cNvPr id="39" name="Chart 38">
          <a:extLst>
            <a:ext uri="{FF2B5EF4-FFF2-40B4-BE49-F238E27FC236}">
              <a16:creationId xmlns:a16="http://schemas.microsoft.com/office/drawing/2014/main" id="{4B4487F9-2254-40ED-BA7E-D4DCE22EC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578069</xdr:colOff>
      <xdr:row>36</xdr:row>
      <xdr:rowOff>169483</xdr:rowOff>
    </xdr:from>
    <xdr:to>
      <xdr:col>17</xdr:col>
      <xdr:colOff>35035</xdr:colOff>
      <xdr:row>54</xdr:row>
      <xdr:rowOff>166413</xdr:rowOff>
    </xdr:to>
    <xdr:graphicFrame macro="">
      <xdr:nvGraphicFramePr>
        <xdr:cNvPr id="41" name="Chart 40">
          <a:extLst>
            <a:ext uri="{FF2B5EF4-FFF2-40B4-BE49-F238E27FC236}">
              <a16:creationId xmlns:a16="http://schemas.microsoft.com/office/drawing/2014/main" id="{9D823911-D0B6-4FF6-A5BD-9A3ED0CB6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510279</xdr:colOff>
      <xdr:row>40</xdr:row>
      <xdr:rowOff>178244</xdr:rowOff>
    </xdr:from>
    <xdr:to>
      <xdr:col>9</xdr:col>
      <xdr:colOff>508000</xdr:colOff>
      <xdr:row>54</xdr:row>
      <xdr:rowOff>157655</xdr:rowOff>
    </xdr:to>
    <xdr:graphicFrame macro="">
      <xdr:nvGraphicFramePr>
        <xdr:cNvPr id="42" name="Chart 41">
          <a:extLst>
            <a:ext uri="{FF2B5EF4-FFF2-40B4-BE49-F238E27FC236}">
              <a16:creationId xmlns:a16="http://schemas.microsoft.com/office/drawing/2014/main" id="{7AD87B1A-8605-4E49-AE21-889F6D14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139438</xdr:colOff>
      <xdr:row>14</xdr:row>
      <xdr:rowOff>158094</xdr:rowOff>
    </xdr:from>
    <xdr:to>
      <xdr:col>2</xdr:col>
      <xdr:colOff>353712</xdr:colOff>
      <xdr:row>17</xdr:row>
      <xdr:rowOff>179557</xdr:rowOff>
    </xdr:to>
    <xdr:sp macro="" textlink="">
      <xdr:nvSpPr>
        <xdr:cNvPr id="47" name="Rectangle: Rounded Corners 46">
          <a:hlinkClick xmlns:r="http://schemas.openxmlformats.org/officeDocument/2006/relationships" r:id="rId18"/>
          <a:extLst>
            <a:ext uri="{FF2B5EF4-FFF2-40B4-BE49-F238E27FC236}">
              <a16:creationId xmlns:a16="http://schemas.microsoft.com/office/drawing/2014/main" id="{4EAE415C-E179-4144-8304-14D7CE763501}"/>
            </a:ext>
          </a:extLst>
        </xdr:cNvPr>
        <xdr:cNvSpPr/>
      </xdr:nvSpPr>
      <xdr:spPr>
        <a:xfrm>
          <a:off x="139438" y="2733128"/>
          <a:ext cx="1440481" cy="5732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950" b="1">
              <a:latin typeface="Times New Roman" panose="02020603050405020304" pitchFamily="18" charset="0"/>
              <a:cs typeface="Times New Roman" panose="02020603050405020304" pitchFamily="18" charset="0"/>
            </a:rPr>
            <a:t>About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0</xdr:row>
      <xdr:rowOff>114300</xdr:rowOff>
    </xdr:from>
    <xdr:to>
      <xdr:col>20</xdr:col>
      <xdr:colOff>30480</xdr:colOff>
      <xdr:row>55</xdr:row>
      <xdr:rowOff>111760</xdr:rowOff>
    </xdr:to>
    <xdr:sp macro="" textlink="">
      <xdr:nvSpPr>
        <xdr:cNvPr id="2" name="Rectangle 1">
          <a:extLst>
            <a:ext uri="{FF2B5EF4-FFF2-40B4-BE49-F238E27FC236}">
              <a16:creationId xmlns:a16="http://schemas.microsoft.com/office/drawing/2014/main" id="{C9130E25-27C8-4D49-BDA1-CE30AA3D7E36}"/>
            </a:ext>
          </a:extLst>
        </xdr:cNvPr>
        <xdr:cNvSpPr/>
      </xdr:nvSpPr>
      <xdr:spPr>
        <a:xfrm>
          <a:off x="121920" y="114300"/>
          <a:ext cx="12100560" cy="10055860"/>
        </a:xfrm>
        <a:prstGeom prst="rect">
          <a:avLst/>
        </a:prstGeom>
        <a:solidFill>
          <a:schemeClr val="tx2">
            <a:lumMod val="7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382557</xdr:colOff>
      <xdr:row>0</xdr:row>
      <xdr:rowOff>125691</xdr:rowOff>
    </xdr:from>
    <xdr:to>
      <xdr:col>19</xdr:col>
      <xdr:colOff>562478</xdr:colOff>
      <xdr:row>55</xdr:row>
      <xdr:rowOff>81280</xdr:rowOff>
    </xdr:to>
    <xdr:sp macro="" textlink="">
      <xdr:nvSpPr>
        <xdr:cNvPr id="3" name="Rectangle 2">
          <a:extLst>
            <a:ext uri="{FF2B5EF4-FFF2-40B4-BE49-F238E27FC236}">
              <a16:creationId xmlns:a16="http://schemas.microsoft.com/office/drawing/2014/main" id="{AA01AB84-B4DC-4490-BB55-EF1078FEE5BB}"/>
            </a:ext>
          </a:extLst>
        </xdr:cNvPr>
        <xdr:cNvSpPr/>
      </xdr:nvSpPr>
      <xdr:spPr>
        <a:xfrm>
          <a:off x="1601757" y="125691"/>
          <a:ext cx="10543121" cy="10013989"/>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25000"/>
              </a:schemeClr>
            </a:solidFill>
          </a:endParaRPr>
        </a:p>
      </xdr:txBody>
    </xdr:sp>
    <xdr:clientData/>
  </xdr:twoCellAnchor>
  <xdr:twoCellAnchor>
    <xdr:from>
      <xdr:col>0</xdr:col>
      <xdr:colOff>121921</xdr:colOff>
      <xdr:row>0</xdr:row>
      <xdr:rowOff>106680</xdr:rowOff>
    </xdr:from>
    <xdr:to>
      <xdr:col>2</xdr:col>
      <xdr:colOff>386172</xdr:colOff>
      <xdr:row>5</xdr:row>
      <xdr:rowOff>152400</xdr:rowOff>
    </xdr:to>
    <xdr:sp macro="" textlink="">
      <xdr:nvSpPr>
        <xdr:cNvPr id="4" name="Rectangle 3">
          <a:extLst>
            <a:ext uri="{FF2B5EF4-FFF2-40B4-BE49-F238E27FC236}">
              <a16:creationId xmlns:a16="http://schemas.microsoft.com/office/drawing/2014/main" id="{54D7E5E7-083B-4E45-BC86-E56F9C555790}"/>
            </a:ext>
          </a:extLst>
        </xdr:cNvPr>
        <xdr:cNvSpPr/>
      </xdr:nvSpPr>
      <xdr:spPr>
        <a:xfrm>
          <a:off x="121921" y="106680"/>
          <a:ext cx="1483451" cy="96012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533399</xdr:colOff>
      <xdr:row>5</xdr:row>
      <xdr:rowOff>3577</xdr:rowOff>
    </xdr:from>
    <xdr:to>
      <xdr:col>11</xdr:col>
      <xdr:colOff>518999</xdr:colOff>
      <xdr:row>10</xdr:row>
      <xdr:rowOff>173467</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DFAC7A60-04D3-4040-B4DC-8DEE7FA4FB84}"/>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757596" y="940462"/>
              <a:ext cx="5494485" cy="11067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589176</xdr:colOff>
      <xdr:row>0</xdr:row>
      <xdr:rowOff>121920</xdr:rowOff>
    </xdr:from>
    <xdr:to>
      <xdr:col>16</xdr:col>
      <xdr:colOff>516687</xdr:colOff>
      <xdr:row>6</xdr:row>
      <xdr:rowOff>127969</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DB3C5BDA-D0E5-4F85-B2A0-FF8704B5A63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322258" y="121920"/>
              <a:ext cx="2988003" cy="1130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11</xdr:row>
      <xdr:rowOff>99060</xdr:rowOff>
    </xdr:from>
    <xdr:to>
      <xdr:col>19</xdr:col>
      <xdr:colOff>563054</xdr:colOff>
      <xdr:row>13</xdr:row>
      <xdr:rowOff>63500</xdr:rowOff>
    </xdr:to>
    <xdr:sp macro="" textlink="">
      <xdr:nvSpPr>
        <xdr:cNvPr id="7" name="Rectangle 6">
          <a:extLst>
            <a:ext uri="{FF2B5EF4-FFF2-40B4-BE49-F238E27FC236}">
              <a16:creationId xmlns:a16="http://schemas.microsoft.com/office/drawing/2014/main" id="{D471AC22-5499-436E-9205-64CA34DE29C4}"/>
            </a:ext>
          </a:extLst>
        </xdr:cNvPr>
        <xdr:cNvSpPr/>
      </xdr:nvSpPr>
      <xdr:spPr>
        <a:xfrm>
          <a:off x="1752600" y="2110740"/>
          <a:ext cx="10392854" cy="33020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ANALYTICS</a:t>
          </a:r>
        </a:p>
      </xdr:txBody>
    </xdr:sp>
    <xdr:clientData/>
  </xdr:twoCellAnchor>
  <xdr:twoCellAnchor editAs="oneCell">
    <xdr:from>
      <xdr:col>9</xdr:col>
      <xdr:colOff>408940</xdr:colOff>
      <xdr:row>11</xdr:row>
      <xdr:rowOff>71120</xdr:rowOff>
    </xdr:from>
    <xdr:to>
      <xdr:col>10</xdr:col>
      <xdr:colOff>223520</xdr:colOff>
      <xdr:row>13</xdr:row>
      <xdr:rowOff>129540</xdr:rowOff>
    </xdr:to>
    <xdr:pic>
      <xdr:nvPicPr>
        <xdr:cNvPr id="8" name="Graphic 7" descr="Bar chart with solid fill">
          <a:extLst>
            <a:ext uri="{FF2B5EF4-FFF2-40B4-BE49-F238E27FC236}">
              <a16:creationId xmlns:a16="http://schemas.microsoft.com/office/drawing/2014/main" id="{4713AFB0-BAA6-4C16-8532-B5C05427868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95340" y="2082800"/>
          <a:ext cx="424180" cy="424180"/>
        </a:xfrm>
        <a:prstGeom prst="rect">
          <a:avLst/>
        </a:prstGeom>
      </xdr:spPr>
    </xdr:pic>
    <xdr:clientData/>
  </xdr:twoCellAnchor>
  <xdr:twoCellAnchor>
    <xdr:from>
      <xdr:col>16</xdr:col>
      <xdr:colOff>568960</xdr:colOff>
      <xdr:row>0</xdr:row>
      <xdr:rowOff>109220</xdr:rowOff>
    </xdr:from>
    <xdr:to>
      <xdr:col>19</xdr:col>
      <xdr:colOff>576147</xdr:colOff>
      <xdr:row>11</xdr:row>
      <xdr:rowOff>0</xdr:rowOff>
    </xdr:to>
    <mc:AlternateContent xmlns:mc="http://schemas.openxmlformats.org/markup-compatibility/2006" xmlns:a14="http://schemas.microsoft.com/office/drawing/2010/main">
      <mc:Choice Requires="a14">
        <xdr:graphicFrame macro="">
          <xdr:nvGraphicFramePr>
            <xdr:cNvPr id="9" name="Category 3">
              <a:extLst>
                <a:ext uri="{FF2B5EF4-FFF2-40B4-BE49-F238E27FC236}">
                  <a16:creationId xmlns:a16="http://schemas.microsoft.com/office/drawing/2014/main" id="{C04DAEBD-6EDB-4824-A786-403AFA04A89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362534" y="109220"/>
              <a:ext cx="1843482" cy="195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536388</xdr:colOff>
      <xdr:row>14</xdr:row>
      <xdr:rowOff>40640</xdr:rowOff>
    </xdr:from>
    <xdr:to>
      <xdr:col>6</xdr:col>
      <xdr:colOff>566868</xdr:colOff>
      <xdr:row>19</xdr:row>
      <xdr:rowOff>40640</xdr:rowOff>
    </xdr:to>
    <xdr:sp macro="" textlink="">
      <xdr:nvSpPr>
        <xdr:cNvPr id="10" name="Rectangle: Rounded Corners 9">
          <a:extLst>
            <a:ext uri="{FF2B5EF4-FFF2-40B4-BE49-F238E27FC236}">
              <a16:creationId xmlns:a16="http://schemas.microsoft.com/office/drawing/2014/main" id="{76CD7AAA-A0A8-4ADD-A1E6-AD929911AEE4}"/>
            </a:ext>
          </a:extLst>
        </xdr:cNvPr>
        <xdr:cNvSpPr/>
      </xdr:nvSpPr>
      <xdr:spPr>
        <a:xfrm>
          <a:off x="1755588" y="2600960"/>
          <a:ext cx="2468880"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487231</xdr:colOff>
      <xdr:row>14</xdr:row>
      <xdr:rowOff>47065</xdr:rowOff>
    </xdr:from>
    <xdr:to>
      <xdr:col>6</xdr:col>
      <xdr:colOff>548191</xdr:colOff>
      <xdr:row>19</xdr:row>
      <xdr:rowOff>36905</xdr:rowOff>
    </xdr:to>
    <xdr:sp macro="" textlink="">
      <xdr:nvSpPr>
        <xdr:cNvPr id="11" name="Rectangle: Rounded Corners 10">
          <a:extLst>
            <a:ext uri="{FF2B5EF4-FFF2-40B4-BE49-F238E27FC236}">
              <a16:creationId xmlns:a16="http://schemas.microsoft.com/office/drawing/2014/main" id="{83B8941E-8097-42E6-8A05-BCB421DCB41D}"/>
            </a:ext>
          </a:extLst>
        </xdr:cNvPr>
        <xdr:cNvSpPr/>
      </xdr:nvSpPr>
      <xdr:spPr>
        <a:xfrm>
          <a:off x="2316031" y="2607385"/>
          <a:ext cx="1889760" cy="90424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70C0"/>
              </a:solidFill>
              <a:latin typeface="Times New Roman" panose="02020603050405020304" pitchFamily="18" charset="0"/>
              <a:cs typeface="Times New Roman" panose="02020603050405020304" pitchFamily="18" charset="0"/>
            </a:rPr>
            <a:t>TOTAL</a:t>
          </a:r>
          <a:r>
            <a:rPr lang="en-IN" sz="1800" b="1" baseline="0">
              <a:solidFill>
                <a:srgbClr val="0070C0"/>
              </a:solidFill>
              <a:latin typeface="Times New Roman" panose="02020603050405020304" pitchFamily="18" charset="0"/>
              <a:cs typeface="Times New Roman" panose="02020603050405020304" pitchFamily="18" charset="0"/>
            </a:rPr>
            <a:t> SALES</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497840</xdr:colOff>
      <xdr:row>14</xdr:row>
      <xdr:rowOff>111759</xdr:rowOff>
    </xdr:from>
    <xdr:to>
      <xdr:col>3</xdr:col>
      <xdr:colOff>558800</xdr:colOff>
      <xdr:row>18</xdr:row>
      <xdr:rowOff>121662</xdr:rowOff>
    </xdr:to>
    <xdr:pic>
      <xdr:nvPicPr>
        <xdr:cNvPr id="12" name="Graphic 11" descr="Upward trend with solid fill">
          <a:extLst>
            <a:ext uri="{FF2B5EF4-FFF2-40B4-BE49-F238E27FC236}">
              <a16:creationId xmlns:a16="http://schemas.microsoft.com/office/drawing/2014/main" id="{AE450416-5B10-4807-AFB7-A7E3B6D7F3E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17040" y="2672079"/>
          <a:ext cx="670560" cy="741423"/>
        </a:xfrm>
        <a:prstGeom prst="rect">
          <a:avLst/>
        </a:prstGeom>
      </xdr:spPr>
    </xdr:pic>
    <xdr:clientData/>
  </xdr:twoCellAnchor>
  <xdr:twoCellAnchor>
    <xdr:from>
      <xdr:col>3</xdr:col>
      <xdr:colOff>506768</xdr:colOff>
      <xdr:row>16</xdr:row>
      <xdr:rowOff>151389</xdr:rowOff>
    </xdr:from>
    <xdr:to>
      <xdr:col>6</xdr:col>
      <xdr:colOff>537248</xdr:colOff>
      <xdr:row>19</xdr:row>
      <xdr:rowOff>21590</xdr:rowOff>
    </xdr:to>
    <xdr:sp macro="" textlink="'Pivot table'!B28">
      <xdr:nvSpPr>
        <xdr:cNvPr id="13" name="Rectangle: Rounded Corners 12">
          <a:extLst>
            <a:ext uri="{FF2B5EF4-FFF2-40B4-BE49-F238E27FC236}">
              <a16:creationId xmlns:a16="http://schemas.microsoft.com/office/drawing/2014/main" id="{FC160FAB-5762-4931-A978-EF3B48F942DC}"/>
            </a:ext>
          </a:extLst>
        </xdr:cNvPr>
        <xdr:cNvSpPr/>
      </xdr:nvSpPr>
      <xdr:spPr>
        <a:xfrm>
          <a:off x="2335568" y="3077469"/>
          <a:ext cx="1859280" cy="418841"/>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280DC2-96FA-48AD-82EC-EF235C89A0EE}"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12,27,700</a:t>
          </a:fld>
          <a:endParaRPr lang="en-IN" sz="2000" b="1">
            <a:solidFill>
              <a:schemeClr val="accent5"/>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106513</xdr:colOff>
      <xdr:row>14</xdr:row>
      <xdr:rowOff>24343</xdr:rowOff>
    </xdr:from>
    <xdr:to>
      <xdr:col>11</xdr:col>
      <xdr:colOff>136751</xdr:colOff>
      <xdr:row>19</xdr:row>
      <xdr:rowOff>24343</xdr:rowOff>
    </xdr:to>
    <xdr:sp macro="" textlink="">
      <xdr:nvSpPr>
        <xdr:cNvPr id="14" name="Rectangle: Rounded Corners 13">
          <a:extLst>
            <a:ext uri="{FF2B5EF4-FFF2-40B4-BE49-F238E27FC236}">
              <a16:creationId xmlns:a16="http://schemas.microsoft.com/office/drawing/2014/main" id="{212EACE9-D7D5-4EA4-847D-CA319644333C}"/>
            </a:ext>
          </a:extLst>
        </xdr:cNvPr>
        <xdr:cNvSpPr/>
      </xdr:nvSpPr>
      <xdr:spPr>
        <a:xfrm>
          <a:off x="4373713" y="2584663"/>
          <a:ext cx="2468638"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97853</xdr:colOff>
      <xdr:row>16</xdr:row>
      <xdr:rowOff>127269</xdr:rowOff>
    </xdr:from>
    <xdr:to>
      <xdr:col>11</xdr:col>
      <xdr:colOff>129081</xdr:colOff>
      <xdr:row>19</xdr:row>
      <xdr:rowOff>15234</xdr:rowOff>
    </xdr:to>
    <xdr:sp macro="" textlink="'Pivot table'!B36">
      <xdr:nvSpPr>
        <xdr:cNvPr id="15" name="Rectangle: Rounded Corners 14">
          <a:extLst>
            <a:ext uri="{FF2B5EF4-FFF2-40B4-BE49-F238E27FC236}">
              <a16:creationId xmlns:a16="http://schemas.microsoft.com/office/drawing/2014/main" id="{F43A81FA-D6D4-49EE-88B7-B9B52BD2E55B}"/>
            </a:ext>
          </a:extLst>
        </xdr:cNvPr>
        <xdr:cNvSpPr/>
      </xdr:nvSpPr>
      <xdr:spPr>
        <a:xfrm>
          <a:off x="4974653" y="3053349"/>
          <a:ext cx="1860028" cy="436605"/>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B15A156-A890-4AA9-8258-1F60126E9CD0}"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1,67,950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97155</xdr:colOff>
      <xdr:row>14</xdr:row>
      <xdr:rowOff>27901</xdr:rowOff>
    </xdr:from>
    <xdr:to>
      <xdr:col>11</xdr:col>
      <xdr:colOff>134143</xdr:colOff>
      <xdr:row>16</xdr:row>
      <xdr:rowOff>110490</xdr:rowOff>
    </xdr:to>
    <xdr:sp macro="" textlink="">
      <xdr:nvSpPr>
        <xdr:cNvPr id="16" name="Rectangle: Rounded Corners 15">
          <a:extLst>
            <a:ext uri="{FF2B5EF4-FFF2-40B4-BE49-F238E27FC236}">
              <a16:creationId xmlns:a16="http://schemas.microsoft.com/office/drawing/2014/main" id="{993A7E40-DD76-4F15-8955-8C17EA09BA0A}"/>
            </a:ext>
          </a:extLst>
        </xdr:cNvPr>
        <xdr:cNvSpPr/>
      </xdr:nvSpPr>
      <xdr:spPr>
        <a:xfrm>
          <a:off x="4973955" y="2588221"/>
          <a:ext cx="1865788" cy="448349"/>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50" b="1">
              <a:solidFill>
                <a:srgbClr val="0070C0"/>
              </a:solidFill>
              <a:latin typeface="Times New Roman" panose="02020603050405020304" pitchFamily="18" charset="0"/>
              <a:cs typeface="Times New Roman" panose="02020603050405020304" pitchFamily="18" charset="0"/>
            </a:rPr>
            <a:t>TOTAL</a:t>
          </a:r>
          <a:r>
            <a:rPr lang="en-IN" sz="1750" b="1" baseline="0">
              <a:solidFill>
                <a:srgbClr val="0070C0"/>
              </a:solidFill>
              <a:latin typeface="Times New Roman" panose="02020603050405020304" pitchFamily="18" charset="0"/>
              <a:cs typeface="Times New Roman" panose="02020603050405020304" pitchFamily="18" charset="0"/>
            </a:rPr>
            <a:t> PROFIT</a:t>
          </a:r>
          <a:endParaRPr lang="en-IN" sz="175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310109</xdr:colOff>
      <xdr:row>14</xdr:row>
      <xdr:rowOff>50855</xdr:rowOff>
    </xdr:from>
    <xdr:to>
      <xdr:col>15</xdr:col>
      <xdr:colOff>340589</xdr:colOff>
      <xdr:row>19</xdr:row>
      <xdr:rowOff>50855</xdr:rowOff>
    </xdr:to>
    <xdr:sp macro="" textlink="">
      <xdr:nvSpPr>
        <xdr:cNvPr id="17" name="Rectangle: Rounded Corners 16">
          <a:extLst>
            <a:ext uri="{FF2B5EF4-FFF2-40B4-BE49-F238E27FC236}">
              <a16:creationId xmlns:a16="http://schemas.microsoft.com/office/drawing/2014/main" id="{2A81FD41-B157-4D2E-B7CA-64A97B38E1FF}"/>
            </a:ext>
          </a:extLst>
        </xdr:cNvPr>
        <xdr:cNvSpPr/>
      </xdr:nvSpPr>
      <xdr:spPr>
        <a:xfrm>
          <a:off x="7015709" y="2611175"/>
          <a:ext cx="2468880"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492541</xdr:colOff>
      <xdr:row>14</xdr:row>
      <xdr:rowOff>54946</xdr:rowOff>
    </xdr:from>
    <xdr:to>
      <xdr:col>19</xdr:col>
      <xdr:colOff>523022</xdr:colOff>
      <xdr:row>19</xdr:row>
      <xdr:rowOff>54946</xdr:rowOff>
    </xdr:to>
    <xdr:sp macro="" textlink="">
      <xdr:nvSpPr>
        <xdr:cNvPr id="18" name="Rectangle: Rounded Corners 17">
          <a:extLst>
            <a:ext uri="{FF2B5EF4-FFF2-40B4-BE49-F238E27FC236}">
              <a16:creationId xmlns:a16="http://schemas.microsoft.com/office/drawing/2014/main" id="{0DBCE599-DDC9-4304-A210-67F9350D4ADD}"/>
            </a:ext>
          </a:extLst>
        </xdr:cNvPr>
        <xdr:cNvSpPr/>
      </xdr:nvSpPr>
      <xdr:spPr>
        <a:xfrm>
          <a:off x="9636541" y="2615266"/>
          <a:ext cx="2468881" cy="914400"/>
        </a:xfrm>
        <a:prstGeom prst="roundRect">
          <a:avLst>
            <a:gd name="adj" fmla="val 333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265432</xdr:colOff>
      <xdr:row>14</xdr:row>
      <xdr:rowOff>59053</xdr:rowOff>
    </xdr:from>
    <xdr:to>
      <xdr:col>15</xdr:col>
      <xdr:colOff>327140</xdr:colOff>
      <xdr:row>19</xdr:row>
      <xdr:rowOff>48893</xdr:rowOff>
    </xdr:to>
    <xdr:sp macro="" textlink="">
      <xdr:nvSpPr>
        <xdr:cNvPr id="19" name="Rectangle: Rounded Corners 18">
          <a:extLst>
            <a:ext uri="{FF2B5EF4-FFF2-40B4-BE49-F238E27FC236}">
              <a16:creationId xmlns:a16="http://schemas.microsoft.com/office/drawing/2014/main" id="{E4ECABED-8447-4A50-BEAF-860F16408348}"/>
            </a:ext>
          </a:extLst>
        </xdr:cNvPr>
        <xdr:cNvSpPr/>
      </xdr:nvSpPr>
      <xdr:spPr>
        <a:xfrm>
          <a:off x="7580632" y="2619373"/>
          <a:ext cx="1890508" cy="90424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70C0"/>
              </a:solidFill>
              <a:latin typeface="Times New Roman" panose="02020603050405020304" pitchFamily="18" charset="0"/>
              <a:cs typeface="Times New Roman" panose="02020603050405020304" pitchFamily="18" charset="0"/>
            </a:rPr>
            <a:t>TOTAL</a:t>
          </a:r>
          <a:r>
            <a:rPr lang="en-IN" sz="1800" b="1" baseline="0">
              <a:solidFill>
                <a:srgbClr val="0070C0"/>
              </a:solidFill>
              <a:latin typeface="Times New Roman" panose="02020603050405020304" pitchFamily="18" charset="0"/>
              <a:cs typeface="Times New Roman" panose="02020603050405020304" pitchFamily="18" charset="0"/>
            </a:rPr>
            <a:t> UNITS</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455233</xdr:colOff>
      <xdr:row>14</xdr:row>
      <xdr:rowOff>58814</xdr:rowOff>
    </xdr:from>
    <xdr:to>
      <xdr:col>19</xdr:col>
      <xdr:colOff>516942</xdr:colOff>
      <xdr:row>19</xdr:row>
      <xdr:rowOff>48654</xdr:rowOff>
    </xdr:to>
    <xdr:sp macro="" textlink="">
      <xdr:nvSpPr>
        <xdr:cNvPr id="20" name="Rectangle: Rounded Corners 19">
          <a:extLst>
            <a:ext uri="{FF2B5EF4-FFF2-40B4-BE49-F238E27FC236}">
              <a16:creationId xmlns:a16="http://schemas.microsoft.com/office/drawing/2014/main" id="{3A6433C7-EEAE-4A1E-B994-20F11C40BD81}"/>
            </a:ext>
          </a:extLst>
        </xdr:cNvPr>
        <xdr:cNvSpPr/>
      </xdr:nvSpPr>
      <xdr:spPr>
        <a:xfrm>
          <a:off x="10208833" y="2619134"/>
          <a:ext cx="1890509" cy="90424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rgbClr val="0070C0"/>
              </a:solidFill>
              <a:latin typeface="Times New Roman" panose="02020603050405020304" pitchFamily="18" charset="0"/>
              <a:cs typeface="Times New Roman" panose="02020603050405020304" pitchFamily="18" charset="0"/>
            </a:rPr>
            <a:t>QUANTITY</a:t>
          </a:r>
          <a:endParaRPr lang="en-IN" sz="1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282750</xdr:colOff>
      <xdr:row>16</xdr:row>
      <xdr:rowOff>139959</xdr:rowOff>
    </xdr:from>
    <xdr:to>
      <xdr:col>15</xdr:col>
      <xdr:colOff>313978</xdr:colOff>
      <xdr:row>19</xdr:row>
      <xdr:rowOff>55095</xdr:rowOff>
    </xdr:to>
    <xdr:sp macro="" textlink="'Pivot table'!B44">
      <xdr:nvSpPr>
        <xdr:cNvPr id="21" name="Rectangle: Rounded Corners 20">
          <a:extLst>
            <a:ext uri="{FF2B5EF4-FFF2-40B4-BE49-F238E27FC236}">
              <a16:creationId xmlns:a16="http://schemas.microsoft.com/office/drawing/2014/main" id="{EBAE64F8-038C-497F-B92C-6721023A9C9A}"/>
            </a:ext>
          </a:extLst>
        </xdr:cNvPr>
        <xdr:cNvSpPr/>
      </xdr:nvSpPr>
      <xdr:spPr>
        <a:xfrm>
          <a:off x="7597950" y="3066039"/>
          <a:ext cx="1860028" cy="463776"/>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E50E89F-42C9-476B-8FA7-392024841965}"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1,67,950</a:t>
          </a:fld>
          <a:endParaRPr lang="en-IN" sz="2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468222</xdr:colOff>
      <xdr:row>16</xdr:row>
      <xdr:rowOff>132185</xdr:rowOff>
    </xdr:from>
    <xdr:to>
      <xdr:col>19</xdr:col>
      <xdr:colOff>499451</xdr:colOff>
      <xdr:row>19</xdr:row>
      <xdr:rowOff>54858</xdr:rowOff>
    </xdr:to>
    <xdr:sp macro="" textlink="'Pivot table'!B41">
      <xdr:nvSpPr>
        <xdr:cNvPr id="22" name="Rectangle: Rounded Corners 21">
          <a:extLst>
            <a:ext uri="{FF2B5EF4-FFF2-40B4-BE49-F238E27FC236}">
              <a16:creationId xmlns:a16="http://schemas.microsoft.com/office/drawing/2014/main" id="{F21C23F7-3D00-4915-B8E4-C59B47BF4027}"/>
            </a:ext>
          </a:extLst>
        </xdr:cNvPr>
        <xdr:cNvSpPr/>
      </xdr:nvSpPr>
      <xdr:spPr>
        <a:xfrm>
          <a:off x="10221822" y="3058265"/>
          <a:ext cx="1860029" cy="471313"/>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08697E9-B32B-4877-9D14-4495075F0BD9}" type="TxLink">
            <a:rPr lang="en-US" sz="1800" b="1" baseline="0">
              <a:solidFill>
                <a:schemeClr val="tx1"/>
              </a:solidFill>
              <a:latin typeface="Times New Roman" panose="02020603050405020304" pitchFamily="18" charset="0"/>
              <a:ea typeface="+mn-ea"/>
              <a:cs typeface="Times New Roman" panose="02020603050405020304" pitchFamily="18" charset="0"/>
            </a:rPr>
            <a:pPr marL="0" indent="0" algn="ctr"/>
            <a:t>717</a:t>
          </a:fld>
          <a:endParaRPr lang="en-IN" sz="1800" b="1" baseline="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7</xdr:col>
      <xdr:colOff>63944</xdr:colOff>
      <xdr:row>14</xdr:row>
      <xdr:rowOff>100752</xdr:rowOff>
    </xdr:from>
    <xdr:to>
      <xdr:col>8</xdr:col>
      <xdr:colOff>83243</xdr:colOff>
      <xdr:row>18</xdr:row>
      <xdr:rowOff>140874</xdr:rowOff>
    </xdr:to>
    <xdr:pic>
      <xdr:nvPicPr>
        <xdr:cNvPr id="23" name="Graphic 22" descr="Bar graph with upward trend with solid fill">
          <a:extLst>
            <a:ext uri="{FF2B5EF4-FFF2-40B4-BE49-F238E27FC236}">
              <a16:creationId xmlns:a16="http://schemas.microsoft.com/office/drawing/2014/main" id="{55459EAC-AF38-4E2A-82D4-B9D8E05D01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31144" y="2661072"/>
          <a:ext cx="628899" cy="771642"/>
        </a:xfrm>
        <a:prstGeom prst="rect">
          <a:avLst/>
        </a:prstGeom>
      </xdr:spPr>
    </xdr:pic>
    <xdr:clientData/>
  </xdr:twoCellAnchor>
  <xdr:twoCellAnchor editAs="oneCell">
    <xdr:from>
      <xdr:col>15</xdr:col>
      <xdr:colOff>454926</xdr:colOff>
      <xdr:row>14</xdr:row>
      <xdr:rowOff>132646</xdr:rowOff>
    </xdr:from>
    <xdr:to>
      <xdr:col>16</xdr:col>
      <xdr:colOff>506104</xdr:colOff>
      <xdr:row>18</xdr:row>
      <xdr:rowOff>132522</xdr:rowOff>
    </xdr:to>
    <xdr:pic>
      <xdr:nvPicPr>
        <xdr:cNvPr id="24" name="Graphic 23" descr="Bar chart with solid fill">
          <a:extLst>
            <a:ext uri="{FF2B5EF4-FFF2-40B4-BE49-F238E27FC236}">
              <a16:creationId xmlns:a16="http://schemas.microsoft.com/office/drawing/2014/main" id="{24F9DCBB-C8DC-4ED4-8A9D-99969E6C42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98926" y="2692966"/>
          <a:ext cx="660778" cy="731396"/>
        </a:xfrm>
        <a:prstGeom prst="rect">
          <a:avLst/>
        </a:prstGeom>
      </xdr:spPr>
    </xdr:pic>
    <xdr:clientData/>
  </xdr:twoCellAnchor>
  <xdr:twoCellAnchor editAs="oneCell">
    <xdr:from>
      <xdr:col>11</xdr:col>
      <xdr:colOff>259178</xdr:colOff>
      <xdr:row>14</xdr:row>
      <xdr:rowOff>140660</xdr:rowOff>
    </xdr:from>
    <xdr:to>
      <xdr:col>12</xdr:col>
      <xdr:colOff>326571</xdr:colOff>
      <xdr:row>18</xdr:row>
      <xdr:rowOff>132522</xdr:rowOff>
    </xdr:to>
    <xdr:pic>
      <xdr:nvPicPr>
        <xdr:cNvPr id="25" name="Graphic 24" descr="Presentation with bar chart with solid fill">
          <a:extLst>
            <a:ext uri="{FF2B5EF4-FFF2-40B4-BE49-F238E27FC236}">
              <a16:creationId xmlns:a16="http://schemas.microsoft.com/office/drawing/2014/main" id="{145AE32F-0810-497A-869C-B1F2B16F593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64778" y="2700980"/>
          <a:ext cx="676993" cy="723382"/>
        </a:xfrm>
        <a:prstGeom prst="rect">
          <a:avLst/>
        </a:prstGeom>
      </xdr:spPr>
    </xdr:pic>
    <xdr:clientData/>
  </xdr:twoCellAnchor>
  <xdr:twoCellAnchor editAs="oneCell">
    <xdr:from>
      <xdr:col>11</xdr:col>
      <xdr:colOff>589175</xdr:colOff>
      <xdr:row>6</xdr:row>
      <xdr:rowOff>177589</xdr:rowOff>
    </xdr:from>
    <xdr:to>
      <xdr:col>16</xdr:col>
      <xdr:colOff>512113</xdr:colOff>
      <xdr:row>11</xdr:row>
      <xdr:rowOff>1339</xdr:rowOff>
    </xdr:to>
    <mc:AlternateContent xmlns:mc="http://schemas.openxmlformats.org/markup-compatibility/2006" xmlns:a14="http://schemas.microsoft.com/office/drawing/2010/main">
      <mc:Choice Requires="a14">
        <xdr:graphicFrame macro="">
          <xdr:nvGraphicFramePr>
            <xdr:cNvPr id="26" name="Salesperson 4">
              <a:extLst>
                <a:ext uri="{FF2B5EF4-FFF2-40B4-BE49-F238E27FC236}">
                  <a16:creationId xmlns:a16="http://schemas.microsoft.com/office/drawing/2014/main" id="{99D38516-9459-430F-BE32-74E25D0503E4}"/>
                </a:ext>
              </a:extLst>
            </xdr:cNvPr>
            <xdr:cNvGraphicFramePr/>
          </xdr:nvGraphicFramePr>
          <xdr:xfrm>
            <a:off x="0" y="0"/>
            <a:ext cx="0" cy="0"/>
          </xdr:xfrm>
          <a:graphic>
            <a:graphicData uri="http://schemas.microsoft.com/office/drawing/2010/slicer">
              <sle:slicer xmlns:sle="http://schemas.microsoft.com/office/drawing/2010/slicer" name="Salesperson 4"/>
            </a:graphicData>
          </a:graphic>
        </xdr:graphicFrame>
      </mc:Choice>
      <mc:Fallback xmlns="">
        <xdr:sp macro="" textlink="">
          <xdr:nvSpPr>
            <xdr:cNvPr id="0" name=""/>
            <xdr:cNvSpPr>
              <a:spLocks noTextEdit="1"/>
            </xdr:cNvSpPr>
          </xdr:nvSpPr>
          <xdr:spPr>
            <a:xfrm>
              <a:off x="7322257" y="1301851"/>
              <a:ext cx="2983430" cy="760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531814</xdr:colOff>
      <xdr:row>1</xdr:row>
      <xdr:rowOff>23567</xdr:rowOff>
    </xdr:from>
    <xdr:to>
      <xdr:col>11</xdr:col>
      <xdr:colOff>516758</xdr:colOff>
      <xdr:row>4</xdr:row>
      <xdr:rowOff>54989</xdr:rowOff>
    </xdr:to>
    <xdr:sp macro="" textlink="'Pivot table'!AE46">
      <xdr:nvSpPr>
        <xdr:cNvPr id="27" name="Rectangle: Rounded Corners 26">
          <a:extLst>
            <a:ext uri="{FF2B5EF4-FFF2-40B4-BE49-F238E27FC236}">
              <a16:creationId xmlns:a16="http://schemas.microsoft.com/office/drawing/2014/main" id="{0BDC02C4-645A-4032-AB69-F404A1256B54}"/>
            </a:ext>
          </a:extLst>
        </xdr:cNvPr>
        <xdr:cNvSpPr/>
      </xdr:nvSpPr>
      <xdr:spPr>
        <a:xfrm>
          <a:off x="1751014" y="206447"/>
          <a:ext cx="5471344" cy="580062"/>
        </a:xfrm>
        <a:prstGeom prst="roundRect">
          <a:avLst>
            <a:gd name="adj" fmla="val 0"/>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Times New Roman" panose="02020603050405020304" pitchFamily="18" charset="0"/>
              <a:ea typeface="Calibri"/>
              <a:cs typeface="Times New Roman" panose="02020603050405020304" pitchFamily="18" charset="0"/>
            </a:rPr>
            <a:t>MZ Ecommerce Sales Dashboard</a:t>
          </a:r>
          <a:r>
            <a:rPr lang="en-US" sz="2400" b="1" i="0" u="none" strike="noStrike">
              <a:solidFill>
                <a:schemeClr val="accent5"/>
              </a:solidFill>
              <a:latin typeface="Times New Roman" panose="02020603050405020304" pitchFamily="18" charset="0"/>
              <a:ea typeface="Calibri"/>
              <a:cs typeface="Times New Roman" panose="02020603050405020304" pitchFamily="18" charset="0"/>
            </a:rPr>
            <a:t> </a:t>
          </a:r>
          <a:endParaRPr lang="en-IN" sz="2400" b="1">
            <a:solidFill>
              <a:schemeClr val="accent5"/>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144152</xdr:colOff>
      <xdr:row>11</xdr:row>
      <xdr:rowOff>2738</xdr:rowOff>
    </xdr:from>
    <xdr:to>
      <xdr:col>2</xdr:col>
      <xdr:colOff>358426</xdr:colOff>
      <xdr:row>14</xdr:row>
      <xdr:rowOff>24202</xdr:rowOff>
    </xdr:to>
    <xdr:sp macro="" textlink="">
      <xdr:nvSpPr>
        <xdr:cNvPr id="28" name="Rectangle: Rounded Corners 27">
          <a:hlinkClick xmlns:r="http://schemas.openxmlformats.org/officeDocument/2006/relationships" r:id="rId12"/>
          <a:extLst>
            <a:ext uri="{FF2B5EF4-FFF2-40B4-BE49-F238E27FC236}">
              <a16:creationId xmlns:a16="http://schemas.microsoft.com/office/drawing/2014/main" id="{FAE646E0-DEEB-41E2-B834-876091143546}"/>
            </a:ext>
          </a:extLst>
        </xdr:cNvPr>
        <xdr:cNvSpPr/>
      </xdr:nvSpPr>
      <xdr:spPr>
        <a:xfrm>
          <a:off x="144152" y="2014418"/>
          <a:ext cx="1433474" cy="5701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50" b="1">
              <a:latin typeface="Times New Roman" panose="02020603050405020304" pitchFamily="18" charset="0"/>
              <a:cs typeface="Times New Roman" panose="02020603050405020304" pitchFamily="18" charset="0"/>
            </a:rPr>
            <a:t>Customer</a:t>
          </a:r>
        </a:p>
      </xdr:txBody>
    </xdr:sp>
    <xdr:clientData/>
  </xdr:twoCellAnchor>
  <xdr:twoCellAnchor>
    <xdr:from>
      <xdr:col>0</xdr:col>
      <xdr:colOff>137194</xdr:colOff>
      <xdr:row>7</xdr:row>
      <xdr:rowOff>51772</xdr:rowOff>
    </xdr:from>
    <xdr:to>
      <xdr:col>2</xdr:col>
      <xdr:colOff>351842</xdr:colOff>
      <xdr:row>10</xdr:row>
      <xdr:rowOff>73236</xdr:rowOff>
    </xdr:to>
    <xdr:sp macro="" textlink="">
      <xdr:nvSpPr>
        <xdr:cNvPr id="29" name="Rectangle: Rounded Corners 28">
          <a:hlinkClick xmlns:r="http://schemas.openxmlformats.org/officeDocument/2006/relationships" r:id="rId13"/>
          <a:extLst>
            <a:ext uri="{FF2B5EF4-FFF2-40B4-BE49-F238E27FC236}">
              <a16:creationId xmlns:a16="http://schemas.microsoft.com/office/drawing/2014/main" id="{938A5416-A818-4510-9F8F-900B27065A08}"/>
            </a:ext>
          </a:extLst>
        </xdr:cNvPr>
        <xdr:cNvSpPr/>
      </xdr:nvSpPr>
      <xdr:spPr>
        <a:xfrm>
          <a:off x="137194" y="1331932"/>
          <a:ext cx="1433848" cy="5701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50" b="1">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139438</xdr:colOff>
      <xdr:row>14</xdr:row>
      <xdr:rowOff>158094</xdr:rowOff>
    </xdr:from>
    <xdr:to>
      <xdr:col>2</xdr:col>
      <xdr:colOff>353712</xdr:colOff>
      <xdr:row>17</xdr:row>
      <xdr:rowOff>179557</xdr:rowOff>
    </xdr:to>
    <xdr:sp macro="" textlink="">
      <xdr:nvSpPr>
        <xdr:cNvPr id="36" name="Rectangle: Rounded Corners 35">
          <a:hlinkClick xmlns:r="http://schemas.openxmlformats.org/officeDocument/2006/relationships" r:id="rId14"/>
          <a:extLst>
            <a:ext uri="{FF2B5EF4-FFF2-40B4-BE49-F238E27FC236}">
              <a16:creationId xmlns:a16="http://schemas.microsoft.com/office/drawing/2014/main" id="{766FAE00-2A3E-4147-9A69-4DBC453AB5B1}"/>
            </a:ext>
          </a:extLst>
        </xdr:cNvPr>
        <xdr:cNvSpPr/>
      </xdr:nvSpPr>
      <xdr:spPr>
        <a:xfrm>
          <a:off x="139438" y="2718414"/>
          <a:ext cx="1433474" cy="57010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950" b="1">
              <a:solidFill>
                <a:sysClr val="windowText" lastClr="000000"/>
              </a:solidFill>
              <a:latin typeface="Times New Roman" panose="02020603050405020304" pitchFamily="18" charset="0"/>
              <a:cs typeface="Times New Roman" panose="02020603050405020304" pitchFamily="18" charset="0"/>
            </a:rPr>
            <a:t>About</a:t>
          </a:r>
        </a:p>
      </xdr:txBody>
    </xdr:sp>
    <xdr:clientData/>
  </xdr:twoCellAnchor>
  <xdr:twoCellAnchor>
    <xdr:from>
      <xdr:col>2</xdr:col>
      <xdr:colOff>494631</xdr:colOff>
      <xdr:row>20</xdr:row>
      <xdr:rowOff>93578</xdr:rowOff>
    </xdr:from>
    <xdr:to>
      <xdr:col>19</xdr:col>
      <xdr:colOff>454526</xdr:colOff>
      <xdr:row>54</xdr:row>
      <xdr:rowOff>173789</xdr:rowOff>
    </xdr:to>
    <xdr:sp macro="" textlink="">
      <xdr:nvSpPr>
        <xdr:cNvPr id="37" name="Rectangle 36">
          <a:extLst>
            <a:ext uri="{FF2B5EF4-FFF2-40B4-BE49-F238E27FC236}">
              <a16:creationId xmlns:a16="http://schemas.microsoft.com/office/drawing/2014/main" id="{C58E3E52-5268-502B-96B2-5A32D15C12D0}"/>
            </a:ext>
          </a:extLst>
        </xdr:cNvPr>
        <xdr:cNvSpPr/>
      </xdr:nvSpPr>
      <xdr:spPr>
        <a:xfrm>
          <a:off x="1724526" y="3836736"/>
          <a:ext cx="10414000" cy="644357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3600" b="1">
              <a:latin typeface="Times New Roman" panose="02020603050405020304" pitchFamily="18" charset="0"/>
              <a:cs typeface="Times New Roman" panose="02020603050405020304" pitchFamily="18" charset="0"/>
            </a:rPr>
            <a:t>About</a:t>
          </a:r>
        </a:p>
        <a:p>
          <a:endParaRPr lang="en-IN" sz="2400" b="1">
            <a:latin typeface="Times New Roman" panose="02020603050405020304" pitchFamily="18" charset="0"/>
            <a:cs typeface="Times New Roman" panose="02020603050405020304" pitchFamily="18" charset="0"/>
          </a:endParaRPr>
        </a:p>
        <a:p>
          <a:r>
            <a:rPr lang="en-IN" sz="2400" b="1">
              <a:latin typeface="Times New Roman" panose="02020603050405020304" pitchFamily="18" charset="0"/>
              <a:cs typeface="Times New Roman" panose="02020603050405020304" pitchFamily="18" charset="0"/>
            </a:rPr>
            <a:t>Conclusion &amp; Recommendations</a:t>
          </a:r>
        </a:p>
        <a:p>
          <a:endParaRPr lang="en-IN" sz="900" b="1">
            <a:latin typeface="Times New Roman" panose="02020603050405020304" pitchFamily="18" charset="0"/>
            <a:cs typeface="Times New Roman" panose="02020603050405020304" pitchFamily="18" charset="0"/>
          </a:endParaRPr>
        </a:p>
        <a:p>
          <a:pPr lvl="0"/>
          <a:r>
            <a:rPr lang="en-IN" sz="2000" b="0">
              <a:ln>
                <a:noFill/>
              </a:ln>
              <a:solidFill>
                <a:schemeClr val="bg1"/>
              </a:solidFill>
              <a:latin typeface="Times New Roman" panose="02020603050405020304" pitchFamily="18" charset="0"/>
              <a:cs typeface="Times New Roman" panose="02020603050405020304" pitchFamily="18" charset="0"/>
            </a:rPr>
            <a:t>-</a:t>
          </a:r>
          <a:r>
            <a:rPr lang="en-IN" sz="2000" b="1">
              <a:ln>
                <a:noFill/>
              </a:ln>
              <a:solidFill>
                <a:schemeClr val="bg1"/>
              </a:solidFill>
              <a:latin typeface="Times New Roman" panose="02020603050405020304" pitchFamily="18" charset="0"/>
              <a:cs typeface="Times New Roman" panose="02020603050405020304" pitchFamily="18" charset="0"/>
            </a:rPr>
            <a:t> North</a:t>
          </a:r>
          <a:r>
            <a:rPr lang="en-IN" sz="2000">
              <a:ln>
                <a:noFill/>
              </a:ln>
              <a:solidFill>
                <a:schemeClr val="bg1"/>
              </a:solidFill>
              <a:latin typeface="Times New Roman" panose="02020603050405020304" pitchFamily="18" charset="0"/>
              <a:cs typeface="Times New Roman" panose="02020603050405020304" pitchFamily="18" charset="0"/>
            </a:rPr>
            <a:t> is the top-performing region.</a:t>
          </a:r>
        </a:p>
        <a:p>
          <a:pPr lvl="0"/>
          <a:r>
            <a:rPr lang="en-IN" sz="2000" b="1">
              <a:ln>
                <a:noFill/>
              </a:ln>
              <a:solidFill>
                <a:schemeClr val="lt1"/>
              </a:solidFill>
              <a:effectLst/>
              <a:latin typeface="+mn-lt"/>
              <a:ea typeface="+mn-ea"/>
              <a:cs typeface="+mn-cs"/>
            </a:rPr>
            <a:t>-</a:t>
          </a:r>
          <a:r>
            <a:rPr lang="en-IN" sz="1100" b="1" baseline="0">
              <a:ln>
                <a:noFill/>
              </a:ln>
              <a:solidFill>
                <a:schemeClr val="lt1"/>
              </a:solidFill>
              <a:effectLst/>
              <a:latin typeface="+mn-lt"/>
              <a:ea typeface="+mn-ea"/>
              <a:cs typeface="+mn-cs"/>
            </a:rPr>
            <a:t> </a:t>
          </a:r>
          <a:r>
            <a:rPr lang="en-IN" sz="2000" b="1">
              <a:ln>
                <a:noFill/>
              </a:ln>
              <a:solidFill>
                <a:schemeClr val="bg1"/>
              </a:solidFill>
              <a:latin typeface="Times New Roman" panose="02020603050405020304" pitchFamily="18" charset="0"/>
              <a:cs typeface="Times New Roman" panose="02020603050405020304" pitchFamily="18" charset="0"/>
            </a:rPr>
            <a:t>Electronics</a:t>
          </a:r>
          <a:r>
            <a:rPr lang="en-IN" sz="2000">
              <a:ln>
                <a:noFill/>
              </a:ln>
              <a:solidFill>
                <a:schemeClr val="bg1"/>
              </a:solidFill>
              <a:latin typeface="Times New Roman" panose="02020603050405020304" pitchFamily="18" charset="0"/>
              <a:cs typeface="Times New Roman" panose="02020603050405020304" pitchFamily="18" charset="0"/>
            </a:rPr>
            <a:t> generates the highest sales.</a:t>
          </a:r>
        </a:p>
        <a:p>
          <a:pPr lvl="0"/>
          <a:r>
            <a:rPr lang="en-IN" sz="2000" b="0">
              <a:ln>
                <a:noFill/>
              </a:ln>
              <a:solidFill>
                <a:schemeClr val="bg1"/>
              </a:solidFill>
              <a:latin typeface="Times New Roman" panose="02020603050405020304" pitchFamily="18" charset="0"/>
              <a:cs typeface="Times New Roman" panose="02020603050405020304" pitchFamily="18" charset="0"/>
            </a:rPr>
            <a:t>-</a:t>
          </a:r>
          <a:r>
            <a:rPr lang="en-IN" sz="2000" b="1">
              <a:ln>
                <a:noFill/>
              </a:ln>
              <a:solidFill>
                <a:schemeClr val="bg1"/>
              </a:solidFill>
              <a:latin typeface="Times New Roman" panose="02020603050405020304" pitchFamily="18" charset="0"/>
              <a:cs typeface="Times New Roman" panose="02020603050405020304" pitchFamily="18" charset="0"/>
            </a:rPr>
            <a:t> Laptops</a:t>
          </a:r>
          <a:r>
            <a:rPr lang="en-IN" sz="2000">
              <a:ln>
                <a:noFill/>
              </a:ln>
              <a:solidFill>
                <a:schemeClr val="bg1"/>
              </a:solidFill>
              <a:latin typeface="Times New Roman" panose="02020603050405020304" pitchFamily="18" charset="0"/>
              <a:cs typeface="Times New Roman" panose="02020603050405020304" pitchFamily="18" charset="0"/>
            </a:rPr>
            <a:t> are the top-selling product.</a:t>
          </a:r>
        </a:p>
        <a:p>
          <a:pPr lvl="0"/>
          <a:r>
            <a:rPr lang="en-IN" sz="2000" b="0">
              <a:ln>
                <a:noFill/>
              </a:ln>
              <a:solidFill>
                <a:schemeClr val="bg1"/>
              </a:solidFill>
              <a:latin typeface="Times New Roman" panose="02020603050405020304" pitchFamily="18" charset="0"/>
              <a:cs typeface="Times New Roman" panose="02020603050405020304" pitchFamily="18" charset="0"/>
            </a:rPr>
            <a:t>-</a:t>
          </a:r>
          <a:r>
            <a:rPr lang="en-IN" sz="2000" b="1" baseline="0">
              <a:ln>
                <a:noFill/>
              </a:ln>
              <a:solidFill>
                <a:schemeClr val="bg1"/>
              </a:solidFill>
              <a:latin typeface="Times New Roman" panose="02020603050405020304" pitchFamily="18" charset="0"/>
              <a:cs typeface="Times New Roman" panose="02020603050405020304" pitchFamily="18" charset="0"/>
            </a:rPr>
            <a:t> </a:t>
          </a:r>
          <a:r>
            <a:rPr lang="en-IN" sz="2000" b="1">
              <a:ln>
                <a:noFill/>
              </a:ln>
              <a:solidFill>
                <a:schemeClr val="bg1"/>
              </a:solidFill>
              <a:latin typeface="Times New Roman" panose="02020603050405020304" pitchFamily="18" charset="0"/>
              <a:cs typeface="Times New Roman" panose="02020603050405020304" pitchFamily="18" charset="0"/>
            </a:rPr>
            <a:t>UPI</a:t>
          </a:r>
          <a:r>
            <a:rPr lang="en-IN" sz="2000">
              <a:ln>
                <a:noFill/>
              </a:ln>
              <a:solidFill>
                <a:schemeClr val="bg1"/>
              </a:solidFill>
              <a:latin typeface="Times New Roman" panose="02020603050405020304" pitchFamily="18" charset="0"/>
              <a:cs typeface="Times New Roman" panose="02020603050405020304" pitchFamily="18" charset="0"/>
            </a:rPr>
            <a:t> is the leading payment mode.</a:t>
          </a:r>
        </a:p>
        <a:p>
          <a:pPr lvl="0"/>
          <a:r>
            <a:rPr lang="en-IN" sz="2000" b="0">
              <a:ln>
                <a:noFill/>
              </a:ln>
              <a:solidFill>
                <a:schemeClr val="bg1"/>
              </a:solidFill>
              <a:latin typeface="Times New Roman" panose="02020603050405020304" pitchFamily="18" charset="0"/>
              <a:cs typeface="Times New Roman" panose="02020603050405020304" pitchFamily="18" charset="0"/>
            </a:rPr>
            <a:t>-</a:t>
          </a:r>
          <a:r>
            <a:rPr lang="en-IN" sz="2000" b="1">
              <a:ln>
                <a:noFill/>
              </a:ln>
              <a:solidFill>
                <a:schemeClr val="bg1"/>
              </a:solidFill>
              <a:latin typeface="Times New Roman" panose="02020603050405020304" pitchFamily="18" charset="0"/>
              <a:cs typeface="Times New Roman" panose="02020603050405020304" pitchFamily="18" charset="0"/>
            </a:rPr>
            <a:t> South</a:t>
          </a:r>
          <a:r>
            <a:rPr lang="en-IN" sz="2000">
              <a:ln>
                <a:noFill/>
              </a:ln>
              <a:solidFill>
                <a:schemeClr val="bg1"/>
              </a:solidFill>
              <a:latin typeface="Times New Roman" panose="02020603050405020304" pitchFamily="18" charset="0"/>
              <a:cs typeface="Times New Roman" panose="02020603050405020304" pitchFamily="18" charset="0"/>
            </a:rPr>
            <a:t> region needs improvement.</a:t>
          </a:r>
        </a:p>
        <a:p>
          <a:pPr lvl="0"/>
          <a:r>
            <a:rPr lang="en-IN" sz="2000" b="1">
              <a:ln>
                <a:noFill/>
              </a:ln>
              <a:solidFill>
                <a:schemeClr val="bg1"/>
              </a:solidFill>
              <a:latin typeface="Times New Roman" panose="02020603050405020304" pitchFamily="18" charset="0"/>
              <a:cs typeface="Times New Roman" panose="02020603050405020304" pitchFamily="18" charset="0"/>
            </a:rPr>
            <a:t>- Stationery</a:t>
          </a:r>
          <a:r>
            <a:rPr lang="en-IN" sz="2000">
              <a:ln>
                <a:noFill/>
              </a:ln>
              <a:solidFill>
                <a:schemeClr val="bg1"/>
              </a:solidFill>
              <a:latin typeface="Times New Roman" panose="02020603050405020304" pitchFamily="18" charset="0"/>
              <a:cs typeface="Times New Roman" panose="02020603050405020304" pitchFamily="18" charset="0"/>
            </a:rPr>
            <a:t> has high quantity but low revenue.</a:t>
          </a:r>
        </a:p>
        <a:p>
          <a:pPr lvl="0"/>
          <a:r>
            <a:rPr lang="en-IN" sz="2000" b="1">
              <a:ln>
                <a:noFill/>
              </a:ln>
              <a:solidFill>
                <a:schemeClr val="bg1"/>
              </a:solidFill>
              <a:latin typeface="Times New Roman" panose="02020603050405020304" pitchFamily="18" charset="0"/>
              <a:cs typeface="Times New Roman" panose="02020603050405020304" pitchFamily="18" charset="0"/>
            </a:rPr>
            <a:t>-</a:t>
          </a:r>
          <a:r>
            <a:rPr lang="en-IN" sz="2000">
              <a:ln>
                <a:noFill/>
              </a:ln>
              <a:solidFill>
                <a:schemeClr val="bg1"/>
              </a:solidFill>
              <a:latin typeface="Times New Roman" panose="02020603050405020304" pitchFamily="18" charset="0"/>
              <a:cs typeface="Times New Roman" panose="02020603050405020304" pitchFamily="18" charset="0"/>
            </a:rPr>
            <a:t> Focus on </a:t>
          </a:r>
          <a:r>
            <a:rPr lang="en-IN" sz="2000" b="1">
              <a:ln>
                <a:noFill/>
              </a:ln>
              <a:solidFill>
                <a:schemeClr val="bg1"/>
              </a:solidFill>
              <a:latin typeface="Times New Roman" panose="02020603050405020304" pitchFamily="18" charset="0"/>
              <a:cs typeface="Times New Roman" panose="02020603050405020304" pitchFamily="18" charset="0"/>
            </a:rPr>
            <a:t>high-value products</a:t>
          </a:r>
          <a:r>
            <a:rPr lang="en-IN" sz="2000">
              <a:ln>
                <a:noFill/>
              </a:ln>
              <a:solidFill>
                <a:schemeClr val="bg1"/>
              </a:solidFill>
              <a:latin typeface="Times New Roman" panose="02020603050405020304" pitchFamily="18" charset="0"/>
              <a:cs typeface="Times New Roman" panose="02020603050405020304" pitchFamily="18" charset="0"/>
            </a:rPr>
            <a:t> and improve weaker regions.</a:t>
          </a:r>
        </a:p>
        <a:p>
          <a:endParaRPr lang="en-IN" sz="2000">
            <a:latin typeface="Times New Roman" panose="02020603050405020304" pitchFamily="18" charset="0"/>
            <a:cs typeface="Times New Roman" panose="02020603050405020304" pitchFamily="18" charset="0"/>
          </a:endParaRPr>
        </a:p>
        <a:p>
          <a:pPr marL="0" indent="0"/>
          <a:r>
            <a:rPr lang="en-IN" sz="2400" b="1">
              <a:solidFill>
                <a:schemeClr val="lt1"/>
              </a:solidFill>
              <a:latin typeface="Times New Roman" panose="02020603050405020304" pitchFamily="18" charset="0"/>
              <a:ea typeface="+mn-ea"/>
              <a:cs typeface="Times New Roman" panose="02020603050405020304" pitchFamily="18" charset="0"/>
            </a:rPr>
            <a:t>Tools Used</a:t>
          </a:r>
        </a:p>
        <a:p>
          <a:pPr marL="0" indent="0"/>
          <a:endParaRPr lang="en-IN" sz="900" b="1">
            <a:latin typeface="Times New Roman" panose="02020603050405020304" pitchFamily="18" charset="0"/>
            <a:cs typeface="Times New Roman" panose="02020603050405020304" pitchFamily="18" charset="0"/>
          </a:endParaRPr>
        </a:p>
        <a:p>
          <a:r>
            <a:rPr lang="en-IN" sz="2000" b="1">
              <a:latin typeface="Times New Roman" panose="02020603050405020304" pitchFamily="18" charset="0"/>
              <a:cs typeface="Times New Roman" panose="02020603050405020304" pitchFamily="18" charset="0"/>
            </a:rPr>
            <a:t>Microsoft Excel | PivotTables | PivotCharts | Slicers | Timeline | Excel Formulas</a:t>
          </a:r>
        </a:p>
        <a:p>
          <a:endParaRPr lang="en-IN" sz="2000" b="1">
            <a:latin typeface="Times New Roman" panose="02020603050405020304" pitchFamily="18" charset="0"/>
            <a:cs typeface="Times New Roman" panose="02020603050405020304" pitchFamily="18" charset="0"/>
          </a:endParaRPr>
        </a:p>
        <a:p>
          <a:r>
            <a:rPr lang="en-IN" sz="2400" b="1">
              <a:latin typeface="Times New Roman" panose="02020603050405020304" pitchFamily="18" charset="0"/>
              <a:cs typeface="Times New Roman" panose="02020603050405020304" pitchFamily="18" charset="0"/>
            </a:rPr>
            <a:t>Developer</a:t>
          </a:r>
        </a:p>
        <a:p>
          <a:endParaRPr lang="en-IN" sz="900" b="1">
            <a:latin typeface="Times New Roman" panose="02020603050405020304" pitchFamily="18" charset="0"/>
            <a:cs typeface="Times New Roman" panose="02020603050405020304" pitchFamily="18" charset="0"/>
          </a:endParaRPr>
        </a:p>
        <a:p>
          <a:r>
            <a:rPr lang="en-IN" sz="2000" b="1">
              <a:latin typeface="Times New Roman" panose="02020603050405020304" pitchFamily="18" charset="0"/>
              <a:cs typeface="Times New Roman" panose="02020603050405020304" pitchFamily="18" charset="0"/>
            </a:rPr>
            <a:t>MOHAMMED ZAID</a:t>
          </a:r>
          <a:endParaRPr lang="en-IN" sz="2000">
            <a:latin typeface="Times New Roman" panose="02020603050405020304" pitchFamily="18" charset="0"/>
            <a:cs typeface="Times New Roman" panose="02020603050405020304" pitchFamily="18" charset="0"/>
          </a:endParaRPr>
        </a:p>
        <a:p>
          <a:endParaRPr lang="en-IN" sz="2000" b="1">
            <a:latin typeface="Times New Roman" panose="02020603050405020304" pitchFamily="18" charset="0"/>
            <a:cs typeface="Times New Roman" panose="02020603050405020304" pitchFamily="18" charset="0"/>
          </a:endParaRPr>
        </a:p>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309976</xdr:colOff>
      <xdr:row>3</xdr:row>
      <xdr:rowOff>169653</xdr:rowOff>
    </xdr:from>
    <xdr:to>
      <xdr:col>13</xdr:col>
      <xdr:colOff>581708</xdr:colOff>
      <xdr:row>11</xdr:row>
      <xdr:rowOff>81376</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6D08F26E-901D-AD44-922E-3391D85E310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858863" y="708804"/>
              <a:ext cx="2291750" cy="13494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603130</xdr:colOff>
      <xdr:row>4</xdr:row>
      <xdr:rowOff>115020</xdr:rowOff>
    </xdr:from>
    <xdr:to>
      <xdr:col>12</xdr:col>
      <xdr:colOff>416223</xdr:colOff>
      <xdr:row>12</xdr:row>
      <xdr:rowOff>110563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C65EDB9-5828-B31F-0283-86A8064FDA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40979" y="833888"/>
              <a:ext cx="1833112" cy="1433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53894</xdr:colOff>
      <xdr:row>12</xdr:row>
      <xdr:rowOff>160451</xdr:rowOff>
    </xdr:from>
    <xdr:to>
      <xdr:col>19</xdr:col>
      <xdr:colOff>79076</xdr:colOff>
      <xdr:row>17</xdr:row>
      <xdr:rowOff>114731</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48DDD83-0F13-3D87-B66E-4370F621C99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24077" y="2341589"/>
              <a:ext cx="8728760" cy="863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236220</xdr:colOff>
      <xdr:row>19</xdr:row>
      <xdr:rowOff>83820</xdr:rowOff>
    </xdr:from>
    <xdr:to>
      <xdr:col>9</xdr:col>
      <xdr:colOff>236219</xdr:colOff>
      <xdr:row>32</xdr:row>
      <xdr:rowOff>173355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25D804DB-9F03-301B-F0AD-08ED4FC3B6D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20540" y="355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442413</xdr:colOff>
      <xdr:row>79</xdr:row>
      <xdr:rowOff>102411</xdr:rowOff>
    </xdr:from>
    <xdr:to>
      <xdr:col>11</xdr:col>
      <xdr:colOff>601801</xdr:colOff>
      <xdr:row>91</xdr:row>
      <xdr:rowOff>111495</xdr:rowOff>
    </xdr:to>
    <xdr:graphicFrame macro="">
      <xdr:nvGraphicFramePr>
        <xdr:cNvPr id="7" name="Chart 6">
          <a:extLst>
            <a:ext uri="{FF2B5EF4-FFF2-40B4-BE49-F238E27FC236}">
              <a16:creationId xmlns:a16="http://schemas.microsoft.com/office/drawing/2014/main" id="{D5E144EB-234D-BE92-0B58-0D23885F0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176124</xdr:colOff>
      <xdr:row>71</xdr:row>
      <xdr:rowOff>58946</xdr:rowOff>
    </xdr:from>
    <xdr:to>
      <xdr:col>15</xdr:col>
      <xdr:colOff>283954</xdr:colOff>
      <xdr:row>86</xdr:row>
      <xdr:rowOff>106392</xdr:rowOff>
    </xdr:to>
    <xdr:graphicFrame macro="">
      <xdr:nvGraphicFramePr>
        <xdr:cNvPr id="8" name="Chart 7">
          <a:extLst>
            <a:ext uri="{FF2B5EF4-FFF2-40B4-BE49-F238E27FC236}">
              <a16:creationId xmlns:a16="http://schemas.microsoft.com/office/drawing/2014/main" id="{3EF103DA-2AE0-C8CC-6000-DEDA0E42B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118614</xdr:colOff>
      <xdr:row>90</xdr:row>
      <xdr:rowOff>30192</xdr:rowOff>
    </xdr:from>
    <xdr:to>
      <xdr:col>12</xdr:col>
      <xdr:colOff>226444</xdr:colOff>
      <xdr:row>105</xdr:row>
      <xdr:rowOff>77637</xdr:rowOff>
    </xdr:to>
    <xdr:graphicFrame macro="">
      <xdr:nvGraphicFramePr>
        <xdr:cNvPr id="9" name="Chart 8">
          <a:extLst>
            <a:ext uri="{FF2B5EF4-FFF2-40B4-BE49-F238E27FC236}">
              <a16:creationId xmlns:a16="http://schemas.microsoft.com/office/drawing/2014/main" id="{004F1D69-4045-790E-1918-50D8B98FB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564312</xdr:colOff>
      <xdr:row>105</xdr:row>
      <xdr:rowOff>173967</xdr:rowOff>
    </xdr:from>
    <xdr:to>
      <xdr:col>12</xdr:col>
      <xdr:colOff>61104</xdr:colOff>
      <xdr:row>121</xdr:row>
      <xdr:rowOff>41695</xdr:rowOff>
    </xdr:to>
    <xdr:graphicFrame macro="">
      <xdr:nvGraphicFramePr>
        <xdr:cNvPr id="10" name="Chart 9">
          <a:extLst>
            <a:ext uri="{FF2B5EF4-FFF2-40B4-BE49-F238E27FC236}">
              <a16:creationId xmlns:a16="http://schemas.microsoft.com/office/drawing/2014/main" id="{CFF34D63-2944-4DF4-8C33-B9FB3D62C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505364</xdr:colOff>
      <xdr:row>121</xdr:row>
      <xdr:rowOff>55066</xdr:rowOff>
    </xdr:from>
    <xdr:to>
      <xdr:col>9</xdr:col>
      <xdr:colOff>501050</xdr:colOff>
      <xdr:row>125</xdr:row>
      <xdr:rowOff>115020</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F1666953-6F78-8AC1-3530-BDAF946EA23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610100" y="21800821"/>
              <a:ext cx="1828800" cy="778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50463</xdr:colOff>
      <xdr:row>136</xdr:row>
      <xdr:rowOff>107975</xdr:rowOff>
    </xdr:from>
    <xdr:to>
      <xdr:col>16</xdr:col>
      <xdr:colOff>46148</xdr:colOff>
      <xdr:row>150</xdr:row>
      <xdr:rowOff>58912</xdr:rowOff>
    </xdr:to>
    <mc:AlternateContent xmlns:mc="http://schemas.openxmlformats.org/markup-compatibility/2006" xmlns:a14="http://schemas.microsoft.com/office/drawing/2010/main">
      <mc:Choice Requires="a14">
        <xdr:graphicFrame macro="">
          <xdr:nvGraphicFramePr>
            <xdr:cNvPr id="11" name="Customer_Name">
              <a:extLst>
                <a:ext uri="{FF2B5EF4-FFF2-40B4-BE49-F238E27FC236}">
                  <a16:creationId xmlns:a16="http://schemas.microsoft.com/office/drawing/2014/main" id="{285F6155-F434-169E-1742-1022C9209B6F}"/>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8775013" y="24827535"/>
              <a:ext cx="1820291" cy="2495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129541</xdr:colOff>
      <xdr:row>137</xdr:row>
      <xdr:rowOff>7333</xdr:rowOff>
    </xdr:from>
    <xdr:to>
      <xdr:col>12</xdr:col>
      <xdr:colOff>549359</xdr:colOff>
      <xdr:row>150</xdr:row>
      <xdr:rowOff>137987</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96A4EE61-3CD8-AC63-403A-A2E9EA644E5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840734" y="24908654"/>
              <a:ext cx="1824974" cy="2493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548496</xdr:colOff>
      <xdr:row>155</xdr:row>
      <xdr:rowOff>139821</xdr:rowOff>
    </xdr:from>
    <xdr:to>
      <xdr:col>21</xdr:col>
      <xdr:colOff>248908</xdr:colOff>
      <xdr:row>171</xdr:row>
      <xdr:rowOff>6291</xdr:rowOff>
    </xdr:to>
    <xdr:graphicFrame macro="">
      <xdr:nvGraphicFramePr>
        <xdr:cNvPr id="15" name="Chart 14">
          <a:extLst>
            <a:ext uri="{FF2B5EF4-FFF2-40B4-BE49-F238E27FC236}">
              <a16:creationId xmlns:a16="http://schemas.microsoft.com/office/drawing/2014/main" id="{B88192BF-40D2-5F98-A50D-143190896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375913</xdr:colOff>
      <xdr:row>152</xdr:row>
      <xdr:rowOff>43798</xdr:rowOff>
    </xdr:from>
    <xdr:to>
      <xdr:col>14</xdr:col>
      <xdr:colOff>375913</xdr:colOff>
      <xdr:row>165</xdr:row>
      <xdr:rowOff>158098</xdr:rowOff>
    </xdr:to>
    <mc:AlternateContent xmlns:mc="http://schemas.openxmlformats.org/markup-compatibility/2006" xmlns:a14="http://schemas.microsoft.com/office/drawing/2010/main">
      <mc:Choice Requires="a14">
        <xdr:graphicFrame macro="">
          <xdr:nvGraphicFramePr>
            <xdr:cNvPr id="16" name="Salesperson 3">
              <a:extLst>
                <a:ext uri="{FF2B5EF4-FFF2-40B4-BE49-F238E27FC236}">
                  <a16:creationId xmlns:a16="http://schemas.microsoft.com/office/drawing/2014/main" id="{C40E96EF-613B-FFDC-9CF9-4CD165F93A6B}"/>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7884060" y="27671541"/>
              <a:ext cx="1824605" cy="2477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742670</xdr:colOff>
      <xdr:row>154</xdr:row>
      <xdr:rowOff>32963</xdr:rowOff>
    </xdr:from>
    <xdr:to>
      <xdr:col>13</xdr:col>
      <xdr:colOff>553918</xdr:colOff>
      <xdr:row>167</xdr:row>
      <xdr:rowOff>148049</xdr:rowOff>
    </xdr:to>
    <mc:AlternateContent xmlns:mc="http://schemas.openxmlformats.org/markup-compatibility/2006" xmlns:a14="http://schemas.microsoft.com/office/drawing/2010/main">
      <mc:Choice Requires="a14">
        <xdr:graphicFrame macro="">
          <xdr:nvGraphicFramePr>
            <xdr:cNvPr id="17" name="Quantity">
              <a:extLst>
                <a:ext uri="{FF2B5EF4-FFF2-40B4-BE49-F238E27FC236}">
                  <a16:creationId xmlns:a16="http://schemas.microsoft.com/office/drawing/2014/main" id="{141869DA-BB3E-CA8D-13DE-B1D20D21A49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7453863" y="28024229"/>
              <a:ext cx="1824605" cy="2477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143312</xdr:colOff>
      <xdr:row>127</xdr:row>
      <xdr:rowOff>58025</xdr:rowOff>
    </xdr:from>
    <xdr:to>
      <xdr:col>9</xdr:col>
      <xdr:colOff>269147</xdr:colOff>
      <xdr:row>142</xdr:row>
      <xdr:rowOff>74803</xdr:rowOff>
    </xdr:to>
    <xdr:graphicFrame macro="">
      <xdr:nvGraphicFramePr>
        <xdr:cNvPr id="18" name="Chart 17">
          <a:extLst>
            <a:ext uri="{FF2B5EF4-FFF2-40B4-BE49-F238E27FC236}">
              <a16:creationId xmlns:a16="http://schemas.microsoft.com/office/drawing/2014/main" id="{27D1F40A-5F15-3857-E12F-F5C4E2735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367019</xdr:colOff>
      <xdr:row>142</xdr:row>
      <xdr:rowOff>134924</xdr:rowOff>
    </xdr:from>
    <xdr:to>
      <xdr:col>9</xdr:col>
      <xdr:colOff>492854</xdr:colOff>
      <xdr:row>157</xdr:row>
      <xdr:rowOff>151702</xdr:rowOff>
    </xdr:to>
    <xdr:graphicFrame macro="">
      <xdr:nvGraphicFramePr>
        <xdr:cNvPr id="19" name="Chart 18">
          <a:extLst>
            <a:ext uri="{FF2B5EF4-FFF2-40B4-BE49-F238E27FC236}">
              <a16:creationId xmlns:a16="http://schemas.microsoft.com/office/drawing/2014/main" id="{389F7CB4-27E5-A281-76E7-49363B38C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220210</xdr:colOff>
      <xdr:row>166</xdr:row>
      <xdr:rowOff>16078</xdr:rowOff>
    </xdr:from>
    <xdr:to>
      <xdr:col>10</xdr:col>
      <xdr:colOff>789962</xdr:colOff>
      <xdr:row>184</xdr:row>
      <xdr:rowOff>97871</xdr:rowOff>
    </xdr:to>
    <xdr:graphicFrame macro="">
      <xdr:nvGraphicFramePr>
        <xdr:cNvPr id="20" name="Chart 19">
          <a:extLst>
            <a:ext uri="{FF2B5EF4-FFF2-40B4-BE49-F238E27FC236}">
              <a16:creationId xmlns:a16="http://schemas.microsoft.com/office/drawing/2014/main" id="{5A9CA139-C01B-72EA-9F6D-C42C37A9E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zaid" refreshedDate="46243.934234722219" createdVersion="8" refreshedVersion="8" minRefreshableVersion="3" recordCount="40" xr:uid="{2A41CCC5-6E11-4709-9EC5-C65E591D9FC3}">
  <cacheSource type="worksheet">
    <worksheetSource name="Table1"/>
  </cacheSource>
  <cacheFields count="14">
    <cacheField name="Order_ID" numFmtId="0">
      <sharedItems/>
    </cacheField>
    <cacheField name="Date" numFmtId="14">
      <sharedItems containsSemiMixedTypes="0" containsNonDate="0" containsDate="1" containsString="0" minDate="2025-01-01T00:00:00" maxDate="2025-03-31T00:00:00" count="40">
        <d v="2025-01-01T00:00:00"/>
        <d v="2025-01-02T00:00:00"/>
        <d v="2025-01-03T00:00:00"/>
        <d v="2025-01-05T00:00:00"/>
        <d v="2025-01-07T00:00:00"/>
        <d v="2025-01-08T00:00:00"/>
        <d v="2025-01-10T00:00:00"/>
        <d v="2025-01-12T00:00:00"/>
        <d v="2025-01-15T00:00:00"/>
        <d v="2025-01-17T00:00:00"/>
        <d v="2025-01-20T00:00:00"/>
        <d v="2025-01-22T00:00:00"/>
        <d v="2025-01-25T00:00:00"/>
        <d v="2025-01-28T00:00:00"/>
        <d v="2025-01-30T00:00:00"/>
        <d v="2025-02-02T00:00:00"/>
        <d v="2025-02-04T00:00:00"/>
        <d v="2025-02-06T00:00:00"/>
        <d v="2025-02-08T00:00:00"/>
        <d v="2025-02-10T00:00:00"/>
        <d v="2025-02-12T00:00:00"/>
        <d v="2025-02-15T00:00:00"/>
        <d v="2025-02-18T00:00:00"/>
        <d v="2025-02-20T00:00:00"/>
        <d v="2025-02-22T00:00:00"/>
        <d v="2025-02-25T00:00:00"/>
        <d v="2025-02-27T00:00:00"/>
        <d v="2025-03-01T00:00:00"/>
        <d v="2025-03-03T00:00:00"/>
        <d v="2025-03-05T00:00:00"/>
        <d v="2025-03-07T00:00:00"/>
        <d v="2025-03-09T00:00:00"/>
        <d v="2025-03-12T00:00:00"/>
        <d v="2025-03-15T00:00:00"/>
        <d v="2025-03-18T00:00:00"/>
        <d v="2025-03-20T00:00:00"/>
        <d v="2025-03-22T00:00:00"/>
        <d v="2025-03-24T00:00:00"/>
        <d v="2025-03-27T00:00:00"/>
        <d v="2025-03-30T00:00:00"/>
      </sharedItems>
      <fieldGroup par="13"/>
    </cacheField>
    <cacheField name="Customer_Name" numFmtId="0">
      <sharedItems count="15">
        <s v="Rahul"/>
        <s v="Priya"/>
        <s v="Arjun"/>
        <s v="Sneha"/>
        <s v="Vikram"/>
        <s v="Anjali"/>
        <s v="Rohit"/>
        <s v="Pooja"/>
        <s v="Karan"/>
        <s v="Meena"/>
        <s v="Raj"/>
        <s v="Divya"/>
        <s v="Sameer"/>
        <s v="Ayesha"/>
        <s v="Imran"/>
      </sharedItems>
    </cacheField>
    <cacheField name="Region" numFmtId="0">
      <sharedItems count="4">
        <s v="North"/>
        <s v="South"/>
        <s v="West"/>
        <s v="East"/>
      </sharedItems>
    </cacheField>
    <cacheField name="Category" numFmtId="0">
      <sharedItems count="3">
        <s v="Electronics"/>
        <s v="Furniture"/>
        <s v="Stationery"/>
      </sharedItems>
    </cacheField>
    <cacheField name="Product" numFmtId="0">
      <sharedItems count="8">
        <s v="Laptop"/>
        <s v="Chair"/>
        <s v="Mobile"/>
        <s v="Notebook"/>
        <s v="Table"/>
        <s v="Headphones"/>
        <s v="Pen"/>
        <s v="Tablet"/>
      </sharedItems>
    </cacheField>
    <cacheField name="Quantity" numFmtId="0">
      <sharedItems containsSemiMixedTypes="0" containsString="0" containsNumber="1" containsInteger="1" minValue="1" maxValue="120" count="19">
        <n v="2"/>
        <n v="5"/>
        <n v="3"/>
        <n v="20"/>
        <n v="4"/>
        <n v="50"/>
        <n v="1"/>
        <n v="10"/>
        <n v="30"/>
        <n v="100"/>
        <n v="8"/>
        <n v="25"/>
        <n v="6"/>
        <n v="75"/>
        <n v="12"/>
        <n v="40"/>
        <n v="120"/>
        <n v="7"/>
        <n v="90"/>
      </sharedItems>
    </cacheField>
    <cacheField name="Unit_Price" numFmtId="0">
      <sharedItems containsSemiMixedTypes="0" containsString="0" containsNumber="1" containsInteger="1" minValue="20" maxValue="55000"/>
    </cacheField>
    <cacheField name="Sales" numFmtId="0">
      <sharedItems containsSemiMixedTypes="0" containsString="0" containsNumber="1" containsInteger="1" minValue="1000" maxValue="110000"/>
    </cacheField>
    <cacheField name="Profit" numFmtId="0">
      <sharedItems containsSemiMixedTypes="0" containsString="0" containsNumber="1" containsInteger="1" minValue="200" maxValue="12000"/>
    </cacheField>
    <cacheField name="Payment_Mode" numFmtId="0">
      <sharedItems count="3">
        <s v="UPI"/>
        <s v="Cash"/>
        <s v="Card"/>
      </sharedItems>
    </cacheField>
    <cacheField name="Salesperson" numFmtId="0">
      <sharedItems count="3">
        <s v="Amit"/>
        <s v="Neha"/>
        <s v="Rahul"/>
      </sharedItems>
    </cacheField>
    <cacheField name="Days (Date)" numFmtId="0" databaseField="0">
      <fieldGroup base="1">
        <rangePr groupBy="days" startDate="2025-01-01T00:00:00" endDate="2025-03-3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5"/>
        </groupItems>
      </fieldGroup>
    </cacheField>
    <cacheField name="Months (Date)" numFmtId="0" databaseField="0">
      <fieldGroup base="1">
        <rangePr groupBy="months" startDate="2025-01-01T00:00:00" endDate="2025-03-31T00:00:00"/>
        <groupItems count="14">
          <s v="&lt;01-01-2025"/>
          <s v="Jan"/>
          <s v="Feb"/>
          <s v="Mar"/>
          <s v="Apr"/>
          <s v="May"/>
          <s v="Jun"/>
          <s v="Jul"/>
          <s v="Aug"/>
          <s v="Sep"/>
          <s v="Oct"/>
          <s v="Nov"/>
          <s v="Dec"/>
          <s v="&gt;31-03-2025"/>
        </groupItems>
      </fieldGroup>
    </cacheField>
  </cacheFields>
  <extLst>
    <ext xmlns:x14="http://schemas.microsoft.com/office/spreadsheetml/2009/9/main" uri="{725AE2AE-9491-48be-B2B4-4EB974FC3084}">
      <x14:pivotCacheDefinition pivotCacheId="245564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001"/>
    <x v="0"/>
    <x v="0"/>
    <x v="0"/>
    <x v="0"/>
    <x v="0"/>
    <x v="0"/>
    <n v="55000"/>
    <n v="110000"/>
    <n v="12000"/>
    <x v="0"/>
    <x v="0"/>
  </r>
  <r>
    <s v="ORD002"/>
    <x v="1"/>
    <x v="1"/>
    <x v="1"/>
    <x v="1"/>
    <x v="1"/>
    <x v="1"/>
    <n v="2500"/>
    <n v="12500"/>
    <n v="2500"/>
    <x v="1"/>
    <x v="1"/>
  </r>
  <r>
    <s v="ORD003"/>
    <x v="2"/>
    <x v="2"/>
    <x v="2"/>
    <x v="0"/>
    <x v="2"/>
    <x v="2"/>
    <n v="18000"/>
    <n v="54000"/>
    <n v="6000"/>
    <x v="2"/>
    <x v="2"/>
  </r>
  <r>
    <s v="ORD004"/>
    <x v="3"/>
    <x v="3"/>
    <x v="3"/>
    <x v="2"/>
    <x v="3"/>
    <x v="3"/>
    <n v="100"/>
    <n v="2000"/>
    <n v="500"/>
    <x v="0"/>
    <x v="0"/>
  </r>
  <r>
    <s v="ORD005"/>
    <x v="4"/>
    <x v="4"/>
    <x v="0"/>
    <x v="1"/>
    <x v="4"/>
    <x v="0"/>
    <n v="7000"/>
    <n v="14000"/>
    <n v="2800"/>
    <x v="2"/>
    <x v="1"/>
  </r>
  <r>
    <s v="ORD006"/>
    <x v="5"/>
    <x v="5"/>
    <x v="1"/>
    <x v="0"/>
    <x v="5"/>
    <x v="4"/>
    <n v="2000"/>
    <n v="8000"/>
    <n v="1600"/>
    <x v="0"/>
    <x v="2"/>
  </r>
  <r>
    <s v="ORD007"/>
    <x v="6"/>
    <x v="6"/>
    <x v="2"/>
    <x v="2"/>
    <x v="6"/>
    <x v="5"/>
    <n v="20"/>
    <n v="1000"/>
    <n v="200"/>
    <x v="1"/>
    <x v="0"/>
  </r>
  <r>
    <s v="ORD008"/>
    <x v="7"/>
    <x v="7"/>
    <x v="3"/>
    <x v="0"/>
    <x v="7"/>
    <x v="0"/>
    <n v="25000"/>
    <n v="50000"/>
    <n v="7000"/>
    <x v="2"/>
    <x v="1"/>
  </r>
  <r>
    <s v="ORD009"/>
    <x v="8"/>
    <x v="8"/>
    <x v="0"/>
    <x v="0"/>
    <x v="0"/>
    <x v="6"/>
    <n v="55000"/>
    <n v="55000"/>
    <n v="6000"/>
    <x v="0"/>
    <x v="2"/>
  </r>
  <r>
    <s v="ORD010"/>
    <x v="9"/>
    <x v="9"/>
    <x v="1"/>
    <x v="1"/>
    <x v="1"/>
    <x v="7"/>
    <n v="2500"/>
    <n v="25000"/>
    <n v="5000"/>
    <x v="1"/>
    <x v="0"/>
  </r>
  <r>
    <s v="ORD011"/>
    <x v="10"/>
    <x v="10"/>
    <x v="2"/>
    <x v="0"/>
    <x v="2"/>
    <x v="0"/>
    <n v="18000"/>
    <n v="36000"/>
    <n v="4000"/>
    <x v="2"/>
    <x v="1"/>
  </r>
  <r>
    <s v="ORD012"/>
    <x v="11"/>
    <x v="11"/>
    <x v="3"/>
    <x v="2"/>
    <x v="3"/>
    <x v="8"/>
    <n v="100"/>
    <n v="3000"/>
    <n v="700"/>
    <x v="0"/>
    <x v="2"/>
  </r>
  <r>
    <s v="ORD013"/>
    <x v="12"/>
    <x v="12"/>
    <x v="0"/>
    <x v="1"/>
    <x v="4"/>
    <x v="2"/>
    <n v="7000"/>
    <n v="21000"/>
    <n v="4000"/>
    <x v="1"/>
    <x v="0"/>
  </r>
  <r>
    <s v="ORD014"/>
    <x v="13"/>
    <x v="13"/>
    <x v="1"/>
    <x v="0"/>
    <x v="5"/>
    <x v="1"/>
    <n v="2000"/>
    <n v="10000"/>
    <n v="2000"/>
    <x v="0"/>
    <x v="1"/>
  </r>
  <r>
    <s v="ORD015"/>
    <x v="14"/>
    <x v="14"/>
    <x v="2"/>
    <x v="2"/>
    <x v="6"/>
    <x v="9"/>
    <n v="20"/>
    <n v="2000"/>
    <n v="400"/>
    <x v="2"/>
    <x v="2"/>
  </r>
  <r>
    <s v="ORD016"/>
    <x v="15"/>
    <x v="0"/>
    <x v="3"/>
    <x v="0"/>
    <x v="7"/>
    <x v="6"/>
    <n v="25000"/>
    <n v="25000"/>
    <n v="3500"/>
    <x v="0"/>
    <x v="0"/>
  </r>
  <r>
    <s v="ORD017"/>
    <x v="16"/>
    <x v="1"/>
    <x v="0"/>
    <x v="0"/>
    <x v="0"/>
    <x v="0"/>
    <n v="55000"/>
    <n v="110000"/>
    <n v="12000"/>
    <x v="2"/>
    <x v="1"/>
  </r>
  <r>
    <s v="ORD018"/>
    <x v="17"/>
    <x v="2"/>
    <x v="1"/>
    <x v="1"/>
    <x v="1"/>
    <x v="10"/>
    <n v="2500"/>
    <n v="20000"/>
    <n v="4000"/>
    <x v="1"/>
    <x v="2"/>
  </r>
  <r>
    <s v="ORD019"/>
    <x v="18"/>
    <x v="3"/>
    <x v="2"/>
    <x v="0"/>
    <x v="2"/>
    <x v="4"/>
    <n v="18000"/>
    <n v="72000"/>
    <n v="8000"/>
    <x v="0"/>
    <x v="0"/>
  </r>
  <r>
    <s v="ORD020"/>
    <x v="19"/>
    <x v="4"/>
    <x v="3"/>
    <x v="2"/>
    <x v="3"/>
    <x v="11"/>
    <n v="100"/>
    <n v="2500"/>
    <n v="600"/>
    <x v="2"/>
    <x v="1"/>
  </r>
  <r>
    <s v="ORD021"/>
    <x v="20"/>
    <x v="5"/>
    <x v="0"/>
    <x v="1"/>
    <x v="4"/>
    <x v="0"/>
    <n v="7000"/>
    <n v="14000"/>
    <n v="2800"/>
    <x v="0"/>
    <x v="2"/>
  </r>
  <r>
    <s v="ORD022"/>
    <x v="21"/>
    <x v="6"/>
    <x v="1"/>
    <x v="0"/>
    <x v="5"/>
    <x v="12"/>
    <n v="2000"/>
    <n v="12000"/>
    <n v="2500"/>
    <x v="1"/>
    <x v="0"/>
  </r>
  <r>
    <s v="ORD023"/>
    <x v="22"/>
    <x v="7"/>
    <x v="2"/>
    <x v="2"/>
    <x v="6"/>
    <x v="13"/>
    <n v="20"/>
    <n v="1500"/>
    <n v="300"/>
    <x v="2"/>
    <x v="1"/>
  </r>
  <r>
    <s v="ORD024"/>
    <x v="23"/>
    <x v="8"/>
    <x v="3"/>
    <x v="0"/>
    <x v="7"/>
    <x v="2"/>
    <n v="25000"/>
    <n v="75000"/>
    <n v="10000"/>
    <x v="0"/>
    <x v="2"/>
  </r>
  <r>
    <s v="ORD025"/>
    <x v="24"/>
    <x v="9"/>
    <x v="0"/>
    <x v="0"/>
    <x v="0"/>
    <x v="6"/>
    <n v="55000"/>
    <n v="55000"/>
    <n v="6000"/>
    <x v="1"/>
    <x v="0"/>
  </r>
  <r>
    <s v="ORD026"/>
    <x v="25"/>
    <x v="10"/>
    <x v="1"/>
    <x v="1"/>
    <x v="1"/>
    <x v="14"/>
    <n v="2500"/>
    <n v="30000"/>
    <n v="6000"/>
    <x v="0"/>
    <x v="1"/>
  </r>
  <r>
    <s v="ORD027"/>
    <x v="26"/>
    <x v="11"/>
    <x v="2"/>
    <x v="0"/>
    <x v="2"/>
    <x v="0"/>
    <n v="18000"/>
    <n v="36000"/>
    <n v="4000"/>
    <x v="2"/>
    <x v="2"/>
  </r>
  <r>
    <s v="ORD028"/>
    <x v="27"/>
    <x v="12"/>
    <x v="3"/>
    <x v="2"/>
    <x v="3"/>
    <x v="15"/>
    <n v="100"/>
    <n v="4000"/>
    <n v="900"/>
    <x v="0"/>
    <x v="0"/>
  </r>
  <r>
    <s v="ORD029"/>
    <x v="28"/>
    <x v="13"/>
    <x v="0"/>
    <x v="1"/>
    <x v="4"/>
    <x v="4"/>
    <n v="7000"/>
    <n v="28000"/>
    <n v="5500"/>
    <x v="2"/>
    <x v="1"/>
  </r>
  <r>
    <s v="ORD030"/>
    <x v="29"/>
    <x v="14"/>
    <x v="1"/>
    <x v="0"/>
    <x v="5"/>
    <x v="10"/>
    <n v="2000"/>
    <n v="16000"/>
    <n v="3200"/>
    <x v="1"/>
    <x v="2"/>
  </r>
  <r>
    <s v="ORD031"/>
    <x v="30"/>
    <x v="0"/>
    <x v="2"/>
    <x v="2"/>
    <x v="6"/>
    <x v="16"/>
    <n v="20"/>
    <n v="2400"/>
    <n v="500"/>
    <x v="0"/>
    <x v="0"/>
  </r>
  <r>
    <s v="ORD032"/>
    <x v="31"/>
    <x v="1"/>
    <x v="3"/>
    <x v="0"/>
    <x v="7"/>
    <x v="0"/>
    <n v="25000"/>
    <n v="50000"/>
    <n v="7000"/>
    <x v="2"/>
    <x v="1"/>
  </r>
  <r>
    <s v="ORD033"/>
    <x v="32"/>
    <x v="2"/>
    <x v="0"/>
    <x v="0"/>
    <x v="0"/>
    <x v="0"/>
    <n v="55000"/>
    <n v="110000"/>
    <n v="12000"/>
    <x v="0"/>
    <x v="2"/>
  </r>
  <r>
    <s v="ORD034"/>
    <x v="33"/>
    <x v="3"/>
    <x v="1"/>
    <x v="1"/>
    <x v="1"/>
    <x v="12"/>
    <n v="2500"/>
    <n v="15000"/>
    <n v="3000"/>
    <x v="1"/>
    <x v="0"/>
  </r>
  <r>
    <s v="ORD035"/>
    <x v="34"/>
    <x v="4"/>
    <x v="2"/>
    <x v="0"/>
    <x v="2"/>
    <x v="2"/>
    <n v="18000"/>
    <n v="54000"/>
    <n v="6000"/>
    <x v="2"/>
    <x v="1"/>
  </r>
  <r>
    <s v="ORD036"/>
    <x v="35"/>
    <x v="5"/>
    <x v="3"/>
    <x v="2"/>
    <x v="3"/>
    <x v="5"/>
    <n v="100"/>
    <n v="5000"/>
    <n v="1100"/>
    <x v="0"/>
    <x v="2"/>
  </r>
  <r>
    <s v="ORD037"/>
    <x v="36"/>
    <x v="6"/>
    <x v="0"/>
    <x v="1"/>
    <x v="4"/>
    <x v="2"/>
    <n v="7000"/>
    <n v="21000"/>
    <n v="4200"/>
    <x v="1"/>
    <x v="0"/>
  </r>
  <r>
    <s v="ORD038"/>
    <x v="37"/>
    <x v="7"/>
    <x v="1"/>
    <x v="0"/>
    <x v="5"/>
    <x v="17"/>
    <n v="2000"/>
    <n v="14000"/>
    <n v="2800"/>
    <x v="0"/>
    <x v="1"/>
  </r>
  <r>
    <s v="ORD039"/>
    <x v="38"/>
    <x v="8"/>
    <x v="2"/>
    <x v="2"/>
    <x v="6"/>
    <x v="18"/>
    <n v="20"/>
    <n v="1800"/>
    <n v="350"/>
    <x v="2"/>
    <x v="2"/>
  </r>
  <r>
    <s v="ORD040"/>
    <x v="39"/>
    <x v="9"/>
    <x v="3"/>
    <x v="0"/>
    <x v="7"/>
    <x v="0"/>
    <n v="25000"/>
    <n v="50000"/>
    <n v="700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E986E3-459A-4BD3-9392-070CC65C642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7:B51"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dataField="1" showAll="0"/>
    <pivotField showAll="0"/>
    <pivotField showAll="0"/>
    <pivotField axis="axisRow"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Items count="1">
    <i/>
  </colItems>
  <dataFields count="1">
    <dataField name="Sum of Sales" fld="8" baseField="0"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7624B-818B-44C4-9796-B5DF5C702B27}" name="PivotTable1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location ref="A115:B120"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Row" showAll="0">
      <items count="5">
        <item x="3"/>
        <item x="0"/>
        <item x="1"/>
        <item x="2"/>
        <item t="default"/>
      </items>
    </pivotField>
    <pivotField showAll="0">
      <items count="4">
        <item x="0"/>
        <item x="1"/>
        <item x="2"/>
        <item t="default"/>
      </items>
    </pivotField>
    <pivotField showAll="0">
      <items count="9">
        <item x="7"/>
        <item x="4"/>
        <item x="6"/>
        <item x="3"/>
        <item x="2"/>
        <item x="0"/>
        <item x="5"/>
        <item x="1"/>
        <item t="default"/>
      </items>
    </pivotField>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3D63B-9554-4745-AA62-C660FBC243BC}"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94:B98"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defaultSubtotal="0"/>
    <pivotField axis="axisRow"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Sales" fld="8" baseField="0" baseItem="0"/>
  </dataFields>
  <chartFormats count="4">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CAFF5-7DB4-4A92-80EC-2F255DAA0B36}" name="PivotTable3"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location ref="A43:A44" firstHeaderRow="1" firstDataRow="1" firstDataCol="0"/>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_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7A62DA-4931-4F16-80A5-9A6C19098462}" name="PivotTable14" cacheId="0" applyNumberFormats="0" applyBorderFormats="0" applyFontFormats="0" applyPatternFormats="0" applyAlignmentFormats="0" applyWidthHeightFormats="1" dataCaption="Values" updatedVersion="8" minRefreshableVersion="5" itemPrintTitles="1" createdVersion="8" indent="0" showHeaders="0" outline="1" outlineData="1" multipleFieldFilters="0">
  <location ref="A131" firstHeaderRow="0" firstDataRow="0" firstDataCol="0"/>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3DE21A-1E8F-43D9-A3A0-F5BB80420D3C}" name="PivotTable1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6">
  <location ref="A144:B153" firstHeaderRow="1" firstDataRow="1" firstDataCol="1" rowPageCount="1" colPageCount="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Page" multipleItemSelectionAllowed="1" showAll="0">
      <items count="16">
        <item x="5"/>
        <item x="2"/>
        <item x="13"/>
        <item x="11"/>
        <item x="14"/>
        <item x="8"/>
        <item x="9"/>
        <item x="7"/>
        <item x="1"/>
        <item x="0"/>
        <item x="10"/>
        <item x="6"/>
        <item x="12"/>
        <item x="3"/>
        <item x="4"/>
        <item t="default"/>
      </items>
    </pivotField>
    <pivotField showAll="0">
      <items count="5">
        <item x="3"/>
        <item x="0"/>
        <item x="1"/>
        <item x="2"/>
        <item t="default"/>
      </items>
    </pivotField>
    <pivotField showAll="0">
      <items count="4">
        <item x="0"/>
        <item x="1"/>
        <item x="2"/>
        <item t="default"/>
      </items>
    </pivotField>
    <pivotField axis="axisRow" showAll="0">
      <items count="9">
        <item x="7"/>
        <item x="4"/>
        <item x="6"/>
        <item x="3"/>
        <item x="2"/>
        <item x="0"/>
        <item x="5"/>
        <item x="1"/>
        <item t="default"/>
      </items>
    </pivotField>
    <pivotField dataField="1" showAll="0">
      <items count="20">
        <item x="6"/>
        <item x="0"/>
        <item x="2"/>
        <item x="4"/>
        <item x="1"/>
        <item x="12"/>
        <item x="17"/>
        <item x="10"/>
        <item x="7"/>
        <item x="14"/>
        <item x="3"/>
        <item x="11"/>
        <item x="8"/>
        <item x="15"/>
        <item x="5"/>
        <item x="13"/>
        <item x="18"/>
        <item x="9"/>
        <item x="16"/>
        <item t="default"/>
      </items>
    </pivotField>
    <pivotField showAll="0"/>
    <pivotField showAll="0"/>
    <pivotField showAll="0"/>
    <pivotField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9">
    <i>
      <x/>
    </i>
    <i>
      <x v="1"/>
    </i>
    <i>
      <x v="2"/>
    </i>
    <i>
      <x v="3"/>
    </i>
    <i>
      <x v="4"/>
    </i>
    <i>
      <x v="5"/>
    </i>
    <i>
      <x v="6"/>
    </i>
    <i>
      <x v="7"/>
    </i>
    <i t="grand">
      <x/>
    </i>
  </rowItems>
  <colItems count="1">
    <i/>
  </colItems>
  <pageFields count="1">
    <pageField fld="2" hier="-1"/>
  </pageFields>
  <dataFields count="1">
    <dataField name="Sum of Quantity" fld="6" baseField="0" baseItem="0"/>
  </dataFields>
  <chartFormats count="38">
    <chartFormat chart="17" format="1" series="1">
      <pivotArea type="data" outline="0" fieldPosition="0">
        <references count="1">
          <reference field="4294967294" count="1" selected="0">
            <x v="0"/>
          </reference>
        </references>
      </pivotArea>
    </chartFormat>
    <chartFormat chart="17" format="2" series="1">
      <pivotArea type="data" outline="0" fieldPosition="0">
        <references count="2">
          <reference field="4294967294" count="1" selected="0">
            <x v="0"/>
          </reference>
          <reference field="5" count="1" selected="0">
            <x v="1"/>
          </reference>
        </references>
      </pivotArea>
    </chartFormat>
    <chartFormat chart="17" format="3" series="1">
      <pivotArea type="data" outline="0" fieldPosition="0">
        <references count="2">
          <reference field="4294967294" count="1" selected="0">
            <x v="0"/>
          </reference>
          <reference field="5" count="1" selected="0">
            <x v="2"/>
          </reference>
        </references>
      </pivotArea>
    </chartFormat>
    <chartFormat chart="17" format="4" series="1">
      <pivotArea type="data" outline="0" fieldPosition="0">
        <references count="2">
          <reference field="4294967294" count="1" selected="0">
            <x v="0"/>
          </reference>
          <reference field="5" count="1" selected="0">
            <x v="3"/>
          </reference>
        </references>
      </pivotArea>
    </chartFormat>
    <chartFormat chart="17" format="5" series="1">
      <pivotArea type="data" outline="0" fieldPosition="0">
        <references count="2">
          <reference field="4294967294" count="1" selected="0">
            <x v="0"/>
          </reference>
          <reference field="5" count="1" selected="0">
            <x v="4"/>
          </reference>
        </references>
      </pivotArea>
    </chartFormat>
    <chartFormat chart="17" format="6" series="1">
      <pivotArea type="data" outline="0" fieldPosition="0">
        <references count="2">
          <reference field="4294967294" count="1" selected="0">
            <x v="0"/>
          </reference>
          <reference field="5" count="1" selected="0">
            <x v="5"/>
          </reference>
        </references>
      </pivotArea>
    </chartFormat>
    <chartFormat chart="17" format="7" series="1">
      <pivotArea type="data" outline="0" fieldPosition="0">
        <references count="2">
          <reference field="4294967294" count="1" selected="0">
            <x v="0"/>
          </reference>
          <reference field="5" count="1" selected="0">
            <x v="6"/>
          </reference>
        </references>
      </pivotArea>
    </chartFormat>
    <chartFormat chart="17" format="8" series="1">
      <pivotArea type="data" outline="0" fieldPosition="0">
        <references count="2">
          <reference field="4294967294" count="1" selected="0">
            <x v="0"/>
          </reference>
          <reference field="5" count="1" selected="0">
            <x v="7"/>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18" format="3" series="1">
      <pivotArea type="data" outline="0" fieldPosition="0">
        <references count="2">
          <reference field="4294967294" count="1" selected="0">
            <x v="0"/>
          </reference>
          <reference field="2" count="1" selected="0">
            <x v="3"/>
          </reference>
        </references>
      </pivotArea>
    </chartFormat>
    <chartFormat chart="18" format="4" series="1">
      <pivotArea type="data" outline="0" fieldPosition="0">
        <references count="2">
          <reference field="4294967294" count="1" selected="0">
            <x v="0"/>
          </reference>
          <reference field="2" count="1" selected="0">
            <x v="4"/>
          </reference>
        </references>
      </pivotArea>
    </chartFormat>
    <chartFormat chart="18" format="5" series="1">
      <pivotArea type="data" outline="0" fieldPosition="0">
        <references count="2">
          <reference field="4294967294" count="1" selected="0">
            <x v="0"/>
          </reference>
          <reference field="2" count="1" selected="0">
            <x v="5"/>
          </reference>
        </references>
      </pivotArea>
    </chartFormat>
    <chartFormat chart="18" format="6" series="1">
      <pivotArea type="data" outline="0" fieldPosition="0">
        <references count="2">
          <reference field="4294967294" count="1" selected="0">
            <x v="0"/>
          </reference>
          <reference field="2" count="1" selected="0">
            <x v="6"/>
          </reference>
        </references>
      </pivotArea>
    </chartFormat>
    <chartFormat chart="18" format="7" series="1">
      <pivotArea type="data" outline="0" fieldPosition="0">
        <references count="2">
          <reference field="4294967294" count="1" selected="0">
            <x v="0"/>
          </reference>
          <reference field="2" count="1" selected="0">
            <x v="7"/>
          </reference>
        </references>
      </pivotArea>
    </chartFormat>
    <chartFormat chart="18" format="8" series="1">
      <pivotArea type="data" outline="0" fieldPosition="0">
        <references count="2">
          <reference field="4294967294" count="1" selected="0">
            <x v="0"/>
          </reference>
          <reference field="2" count="1" selected="0">
            <x v="8"/>
          </reference>
        </references>
      </pivotArea>
    </chartFormat>
    <chartFormat chart="18" format="9" series="1">
      <pivotArea type="data" outline="0" fieldPosition="0">
        <references count="2">
          <reference field="4294967294" count="1" selected="0">
            <x v="0"/>
          </reference>
          <reference field="2" count="1" selected="0">
            <x v="9"/>
          </reference>
        </references>
      </pivotArea>
    </chartFormat>
    <chartFormat chart="18" format="10" series="1">
      <pivotArea type="data" outline="0" fieldPosition="0">
        <references count="2">
          <reference field="4294967294" count="1" selected="0">
            <x v="0"/>
          </reference>
          <reference field="2" count="1" selected="0">
            <x v="10"/>
          </reference>
        </references>
      </pivotArea>
    </chartFormat>
    <chartFormat chart="18" format="11" series="1">
      <pivotArea type="data" outline="0" fieldPosition="0">
        <references count="2">
          <reference field="4294967294" count="1" selected="0">
            <x v="0"/>
          </reference>
          <reference field="2" count="1" selected="0">
            <x v="11"/>
          </reference>
        </references>
      </pivotArea>
    </chartFormat>
    <chartFormat chart="18" format="12" series="1">
      <pivotArea type="data" outline="0" fieldPosition="0">
        <references count="2">
          <reference field="4294967294" count="1" selected="0">
            <x v="0"/>
          </reference>
          <reference field="2" count="1" selected="0">
            <x v="12"/>
          </reference>
        </references>
      </pivotArea>
    </chartFormat>
    <chartFormat chart="18" format="13" series="1">
      <pivotArea type="data" outline="0" fieldPosition="0">
        <references count="2">
          <reference field="4294967294" count="1" selected="0">
            <x v="0"/>
          </reference>
          <reference field="2" count="1" selected="0">
            <x v="13"/>
          </reference>
        </references>
      </pivotArea>
    </chartFormat>
    <chartFormat chart="18" format="14" series="1">
      <pivotArea type="data" outline="0" fieldPosition="0">
        <references count="2">
          <reference field="4294967294" count="1" selected="0">
            <x v="0"/>
          </reference>
          <reference field="2" count="1" selected="0">
            <x v="14"/>
          </reference>
        </references>
      </pivotArea>
    </chartFormat>
    <chartFormat chart="17" format="9" series="1">
      <pivotArea type="data" outline="0" fieldPosition="0">
        <references count="2">
          <reference field="4294967294" count="1" selected="0">
            <x v="0"/>
          </reference>
          <reference field="2" count="1" selected="0">
            <x v="1"/>
          </reference>
        </references>
      </pivotArea>
    </chartFormat>
    <chartFormat chart="17" format="10" series="1">
      <pivotArea type="data" outline="0" fieldPosition="0">
        <references count="2">
          <reference field="4294967294" count="1" selected="0">
            <x v="0"/>
          </reference>
          <reference field="2" count="1" selected="0">
            <x v="2"/>
          </reference>
        </references>
      </pivotArea>
    </chartFormat>
    <chartFormat chart="17" format="11" series="1">
      <pivotArea type="data" outline="0" fieldPosition="0">
        <references count="2">
          <reference field="4294967294" count="1" selected="0">
            <x v="0"/>
          </reference>
          <reference field="2" count="1" selected="0">
            <x v="3"/>
          </reference>
        </references>
      </pivotArea>
    </chartFormat>
    <chartFormat chart="17" format="12" series="1">
      <pivotArea type="data" outline="0" fieldPosition="0">
        <references count="2">
          <reference field="4294967294" count="1" selected="0">
            <x v="0"/>
          </reference>
          <reference field="2" count="1" selected="0">
            <x v="4"/>
          </reference>
        </references>
      </pivotArea>
    </chartFormat>
    <chartFormat chart="17" format="13" series="1">
      <pivotArea type="data" outline="0" fieldPosition="0">
        <references count="2">
          <reference field="4294967294" count="1" selected="0">
            <x v="0"/>
          </reference>
          <reference field="2" count="1" selected="0">
            <x v="5"/>
          </reference>
        </references>
      </pivotArea>
    </chartFormat>
    <chartFormat chart="17" format="14" series="1">
      <pivotArea type="data" outline="0" fieldPosition="0">
        <references count="2">
          <reference field="4294967294" count="1" selected="0">
            <x v="0"/>
          </reference>
          <reference field="2" count="1" selected="0">
            <x v="6"/>
          </reference>
        </references>
      </pivotArea>
    </chartFormat>
    <chartFormat chart="17" format="15" series="1">
      <pivotArea type="data" outline="0" fieldPosition="0">
        <references count="2">
          <reference field="4294967294" count="1" selected="0">
            <x v="0"/>
          </reference>
          <reference field="2" count="1" selected="0">
            <x v="7"/>
          </reference>
        </references>
      </pivotArea>
    </chartFormat>
    <chartFormat chart="17" format="16" series="1">
      <pivotArea type="data" outline="0" fieldPosition="0">
        <references count="2">
          <reference field="4294967294" count="1" selected="0">
            <x v="0"/>
          </reference>
          <reference field="2" count="1" selected="0">
            <x v="8"/>
          </reference>
        </references>
      </pivotArea>
    </chartFormat>
    <chartFormat chart="17" format="17" series="1">
      <pivotArea type="data" outline="0" fieldPosition="0">
        <references count="2">
          <reference field="4294967294" count="1" selected="0">
            <x v="0"/>
          </reference>
          <reference field="2" count="1" selected="0">
            <x v="9"/>
          </reference>
        </references>
      </pivotArea>
    </chartFormat>
    <chartFormat chart="17" format="18" series="1">
      <pivotArea type="data" outline="0" fieldPosition="0">
        <references count="2">
          <reference field="4294967294" count="1" selected="0">
            <x v="0"/>
          </reference>
          <reference field="2" count="1" selected="0">
            <x v="10"/>
          </reference>
        </references>
      </pivotArea>
    </chartFormat>
    <chartFormat chart="17" format="19" series="1">
      <pivotArea type="data" outline="0" fieldPosition="0">
        <references count="2">
          <reference field="4294967294" count="1" selected="0">
            <x v="0"/>
          </reference>
          <reference field="2" count="1" selected="0">
            <x v="11"/>
          </reference>
        </references>
      </pivotArea>
    </chartFormat>
    <chartFormat chart="17" format="20" series="1">
      <pivotArea type="data" outline="0" fieldPosition="0">
        <references count="2">
          <reference field="4294967294" count="1" selected="0">
            <x v="0"/>
          </reference>
          <reference field="2" count="1" selected="0">
            <x v="12"/>
          </reference>
        </references>
      </pivotArea>
    </chartFormat>
    <chartFormat chart="17" format="21" series="1">
      <pivotArea type="data" outline="0" fieldPosition="0">
        <references count="2">
          <reference field="4294967294" count="1" selected="0">
            <x v="0"/>
          </reference>
          <reference field="2" count="1" selected="0">
            <x v="13"/>
          </reference>
        </references>
      </pivotArea>
    </chartFormat>
    <chartFormat chart="17" format="22" series="1">
      <pivotArea type="data" outline="0" fieldPosition="0">
        <references count="2">
          <reference field="4294967294" count="1" selected="0">
            <x v="0"/>
          </reference>
          <reference field="2" count="1" selected="0">
            <x v="14"/>
          </reference>
        </references>
      </pivotArea>
    </chartFormat>
    <chartFormat chart="21"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CD346C-E603-42FD-91AC-B036C7ADC14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7"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1F0F15-B29D-412D-AB71-286315B20D5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A28" firstHeaderRow="1" firstDataRow="1" firstDataCol="0"/>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27E1FB-9E33-47FA-B7A9-7491E3DA8DA1}"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04:B110"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axis="axisRow" showAll="0" measureFilter="1" sortType="ascending">
      <items count="9">
        <item x="7"/>
        <item x="4"/>
        <item x="6"/>
        <item x="3"/>
        <item x="2"/>
        <item x="0"/>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v="1"/>
    </i>
    <i>
      <x v="7"/>
    </i>
    <i>
      <x/>
    </i>
    <i>
      <x v="4"/>
    </i>
    <i>
      <x v="5"/>
    </i>
    <i t="grand">
      <x/>
    </i>
  </rowItems>
  <colItems count="1">
    <i/>
  </colItems>
  <dataFields count="1">
    <dataField name="Sum of Sales" fld="8" baseField="0" baseItem="0"/>
  </dataFields>
  <chartFormats count="2">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77425C-E660-4DBA-95A4-131A5651313D}" name="PivotTable12"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location ref="K28:K29" firstHeaderRow="1" firstDataRow="1" firstDataCol="0"/>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680AD6-AA89-4D2A-8DA5-30C532868C4E}" name="PivotTable2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5">
  <location ref="A167:B183"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16">
        <item x="5"/>
        <item x="2"/>
        <item x="13"/>
        <item x="11"/>
        <item x="14"/>
        <item x="8"/>
        <item x="9"/>
        <item x="7"/>
        <item x="1"/>
        <item x="0"/>
        <item x="10"/>
        <item x="6"/>
        <item x="12"/>
        <item x="3"/>
        <item x="4"/>
        <item t="default"/>
      </items>
    </pivotField>
    <pivotField showAll="0">
      <items count="5">
        <item x="3"/>
        <item x="0"/>
        <item x="1"/>
        <item x="2"/>
        <item t="default"/>
      </items>
    </pivotField>
    <pivotField showAll="0">
      <items count="4">
        <item x="0"/>
        <item x="1"/>
        <item x="2"/>
        <item t="default"/>
      </items>
    </pivotField>
    <pivotField showAll="0">
      <items count="9">
        <item x="7"/>
        <item x="4"/>
        <item x="6"/>
        <item x="3"/>
        <item x="2"/>
        <item x="0"/>
        <item x="5"/>
        <item x="1"/>
        <item t="default"/>
      </items>
    </pivotField>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Profit" fld="9"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07F08C-49B7-4D7F-AD68-F4D31B634274}" name="PivotTable7"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location ref="A3:A7"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987F45-CFDA-4A86-B1CF-F784C2A1E23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73:B77"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1"/>
    </i>
    <i>
      <x v="2"/>
    </i>
    <i>
      <x v="3"/>
    </i>
    <i t="grand">
      <x/>
    </i>
  </rowItems>
  <colItems count="1">
    <i/>
  </colItems>
  <dataFields count="1">
    <dataField name="Sum of Sales" fld="8" baseField="0" baseItem="0"/>
  </dataFields>
  <chartFormats count="3">
    <chartFormat chart="0"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8AAE34-747A-44B9-A891-884E955AE7D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62:B66"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1"/>
    </i>
    <i>
      <x v="2"/>
    </i>
    <i>
      <x v="3"/>
    </i>
    <i t="grand">
      <x/>
    </i>
  </rowItems>
  <colItems count="1">
    <i/>
  </colItems>
  <dataFields count="1">
    <dataField name="Sum of Sales" fld="8" baseField="0" baseItem="0"/>
  </dataFields>
  <chartFormats count="5">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C8F363-F0CC-444B-B096-A3FD9F631FA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0:A41" firstHeaderRow="1" firstDataRow="1" firstDataCol="0"/>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19FAEF-AFC7-4F44-AF0F-D68DB895AD4E}"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0:A22"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5">
        <item x="3"/>
        <item x="0"/>
        <item x="1"/>
        <item x="2"/>
        <item t="default"/>
      </items>
    </pivotField>
    <pivotField showAll="0"/>
    <pivotField axis="axisRow" showAll="0">
      <items count="9">
        <item h="1" x="1"/>
        <item h="1" x="5"/>
        <item h="1" x="0"/>
        <item x="2"/>
        <item h="1" x="3"/>
        <item h="1" x="6"/>
        <item h="1" x="4"/>
        <item h="1" x="7"/>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355755-2FFB-4860-8D25-0CC647D91F9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5:A36" firstHeaderRow="1" firstDataRow="1" firstDataCol="0"/>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8747EB-DBE1-4AA4-8D08-69F991FC7A7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82:B87"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Row" showAll="0" defaultSubtotal="0">
      <items count="4">
        <item x="3"/>
        <item x="0"/>
        <item x="1"/>
        <item x="2"/>
      </items>
    </pivotField>
    <pivotField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Sales" fld="8"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739B500-E972-4B20-816F-E304A1AD6309}"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135:B137" firstHeaderRow="1" firstDataRow="1" firstDataCol="1"/>
  <pivotFields count="14">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16">
        <item x="5"/>
        <item h="1" x="2"/>
        <item h="1" x="13"/>
        <item h="1" x="11"/>
        <item h="1" x="14"/>
        <item h="1" x="8"/>
        <item h="1" x="9"/>
        <item h="1" x="7"/>
        <item h="1" x="1"/>
        <item h="1" x="0"/>
        <item h="1" x="10"/>
        <item h="1" x="6"/>
        <item h="1" x="12"/>
        <item h="1" x="3"/>
        <item h="1" x="4"/>
        <item t="default"/>
      </items>
    </pivotField>
    <pivotField showAll="0"/>
    <pivotField showAll="0">
      <items count="4">
        <item x="0"/>
        <item x="1"/>
        <item x="2"/>
        <item t="default"/>
      </items>
    </pivotField>
    <pivotField showAll="0">
      <items count="9">
        <item x="1"/>
        <item x="5"/>
        <item x="0"/>
        <item x="2"/>
        <item x="3"/>
        <item x="6"/>
        <item x="4"/>
        <item x="7"/>
        <item t="default"/>
      </items>
    </pivotField>
    <pivotField showAll="0"/>
    <pivotField showAll="0"/>
    <pivotField dataField="1" showAll="0"/>
    <pivotField showAll="0"/>
    <pivotField axis="axisRow" showAll="0">
      <items count="4">
        <item x="2"/>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2">
    <i>
      <x v="2"/>
    </i>
    <i t="grand">
      <x/>
    </i>
  </rowItems>
  <colItems count="1">
    <i/>
  </colItems>
  <dataFields count="1">
    <dataField name="Sum of Sales" fld="8" baseField="0" baseItem="0"/>
  </dataFields>
  <chartFormats count="8">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0" count="1" selected="0">
            <x v="0"/>
          </reference>
        </references>
      </pivotArea>
    </chartFormat>
    <chartFormat chart="20" format="2">
      <pivotArea type="data" outline="0" fieldPosition="0">
        <references count="2">
          <reference field="4294967294" count="1" selected="0">
            <x v="0"/>
          </reference>
          <reference field="10" count="1" selected="0">
            <x v="2"/>
          </reference>
        </references>
      </pivotArea>
    </chartFormat>
    <chartFormat chart="20" format="3">
      <pivotArea type="data" outline="0" fieldPosition="0">
        <references count="2">
          <reference field="4294967294" count="1" selected="0">
            <x v="0"/>
          </reference>
          <reference field="10"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10" count="1" selected="0">
            <x v="0"/>
          </reference>
        </references>
      </pivotArea>
    </chartFormat>
    <chartFormat chart="28" format="10">
      <pivotArea type="data" outline="0" fieldPosition="0">
        <references count="2">
          <reference field="4294967294" count="1" selected="0">
            <x v="0"/>
          </reference>
          <reference field="10" count="1" selected="0">
            <x v="1"/>
          </reference>
        </references>
      </pivotArea>
    </chartFormat>
    <chartFormat chart="28"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DA2EF3-C3FF-485F-A2A5-3474B60CE39E}" sourceName="Region">
  <pivotTables>
    <pivotTable tabId="9" name="PivotTable8"/>
    <pivotTable tabId="9" name="PivotTable9"/>
  </pivotTables>
  <data>
    <tabular pivotCacheId="24556454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69E670-CAB3-411D-ABD9-F1B4B1E8E9D3}" sourceName="Product">
  <pivotTables>
    <pivotTable tabId="9" name="PivotTable9"/>
  </pivotTables>
  <data>
    <tabular pivotCacheId="245564545">
      <items count="8">
        <i x="1"/>
        <i x="5"/>
        <i x="0"/>
        <i x="2" s="1"/>
        <i x="3"/>
        <i x="6"/>
        <i x="4"/>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C92095-4E31-4B5B-B7CA-121CF1CE53EA}" sourceName="Category">
  <pivotTables>
    <pivotTable tabId="9" name="PivotTable10"/>
    <pivotTable tabId="9" name="PivotTable1"/>
    <pivotTable tabId="9" name="PivotTable2"/>
    <pivotTable tabId="9" name="PivotTable3"/>
    <pivotTable tabId="9" name="PivotTable4"/>
    <pivotTable tabId="9" name="PivotTable5"/>
    <pivotTable tabId="9" name="PivotTable6"/>
    <pivotTable tabId="9" name="PivotTable11"/>
    <pivotTable tabId="9" name="PivotTable12"/>
    <pivotTable tabId="9" name="PivotTable14"/>
    <pivotTable tabId="9" name="PivotTable15"/>
    <pivotTable tabId="9" name="PivotTable16"/>
    <pivotTable tabId="9" name="PivotTable13"/>
    <pivotTable tabId="9" name="PivotTable17"/>
    <pivotTable tabId="9" name="PivotTable18"/>
    <pivotTable tabId="9" name="PivotTable20"/>
  </pivotTables>
  <data>
    <tabular pivotCacheId="24556454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05AC61B-C580-46E9-B264-7DD6B4EE5372}" sourceName="Salesperson">
  <pivotTables>
    <pivotTable tabId="9" name="PivotTable14"/>
  </pivotTables>
  <data>
    <tabular pivotCacheId="24556454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379F6E9-533D-4DFE-95DF-6EDCFB2BB57E}" sourceName="Customer_Name">
  <pivotTables>
    <pivotTable tabId="9" name="PivotTable13"/>
  </pivotTables>
  <data>
    <tabular pivotCacheId="245564545">
      <items count="15">
        <i x="5" s="1"/>
        <i x="2"/>
        <i x="13"/>
        <i x="11"/>
        <i x="14"/>
        <i x="8"/>
        <i x="9"/>
        <i x="7"/>
        <i x="1"/>
        <i x="0"/>
        <i x="10"/>
        <i x="6"/>
        <i x="12"/>
        <i x="3"/>
        <i x="4"/>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128B9A2-28EA-4D20-90F0-93F565ED3DD6}" sourceName="Product">
  <pivotTables>
    <pivotTable tabId="9" name="PivotTable13"/>
  </pivotTables>
  <data>
    <tabular pivotCacheId="245564545">
      <items count="8">
        <i x="5" s="1"/>
        <i x="3" s="1"/>
        <i x="4" s="1"/>
        <i x="1" s="1" nd="1"/>
        <i x="0" s="1" nd="1"/>
        <i x="2" s="1" nd="1"/>
        <i x="6" s="1" nd="1"/>
        <i x="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6D04CE8B-56F9-41A8-A48C-B9116EFF5E34}" sourceName="Salesperson">
  <pivotTables>
    <pivotTable tabId="9" name="PivotTable18"/>
  </pivotTables>
  <data>
    <tabular pivotCacheId="245564545">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301DD441-33C0-4796-AF0E-7236FAE4F006}" sourceName="Quantity">
  <pivotTables>
    <pivotTable tabId="9" name="PivotTable18"/>
  </pivotTables>
  <data>
    <tabular pivotCacheId="245564545">
      <items count="19">
        <i x="6" s="1"/>
        <i x="0" s="1"/>
        <i x="2" s="1"/>
        <i x="4" s="1"/>
        <i x="1" s="1"/>
        <i x="12" s="1"/>
        <i x="17" s="1"/>
        <i x="10" s="1"/>
        <i x="7" s="1"/>
        <i x="14" s="1"/>
        <i x="3" s="1"/>
        <i x="11" s="1"/>
        <i x="8" s="1"/>
        <i x="15" s="1"/>
        <i x="5" s="1"/>
        <i x="13" s="1"/>
        <i x="18" s="1"/>
        <i x="9"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46A9FEA-D2F2-4ED9-8408-C86096804EAD}" cache="Slicer_Region" caption="Region" columnCount="2" style="SlicerStyleDark1" rowHeight="324000"/>
  <slicer name="Category 1" xr10:uid="{C5FDF886-67C4-46E5-B2AC-97CED13DA69E}" cache="Slicer_Category" caption="Category" style="SlicerStyleDark1" rowHeight="468000"/>
  <slicer name="Salesperson 1" xr10:uid="{9171170E-D036-4D1E-ADAF-5CFACDE719CC}" cache="Slicer_Salesperson" caption="Salesperson" columnCount="3" style="SlicerStyleDark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0980F0C-299F-4F12-8450-85D1ACF220D3}" cache="Slicer_Region" caption="Region" columnCount="2" style="SlicerStyleDark1" rowHeight="324000"/>
  <slicer name="Category 2" xr10:uid="{C059BA90-8454-4A62-B204-E00A1998C762}" cache="Slicer_Category" caption="Category" style="SlicerStyleDark1" rowHeight="468000"/>
  <slicer name="Salesperson 2" xr10:uid="{EF21A518-6FCC-4648-B42D-BB4E939F6473}" cache="Slicer_Salesperson" caption="Salesperson" columnCount="3" style="SlicerStyleDark1" rowHeight="468000"/>
  <slicer name="Customer_Name 1" xr10:uid="{582FF9C6-9329-4772-BB1F-288B966E78D3}" cache="Slicer_Customer_Name" caption="Customer_Name" rowHeight="360000"/>
  <slicer name="Product 2" xr10:uid="{2689F975-0B01-4233-BDCA-BAC5510A64F9}" cache="Slicer_Product1" caption="Product" columnCount="8"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7E715F38-D33D-4AFA-AABE-FC5D59544D10}" cache="Slicer_Region" caption="Region" columnCount="2" style="SlicerStyleDark1" rowHeight="324000"/>
  <slicer name="Category 3" xr10:uid="{4CECCD94-371C-45FE-B48D-00E14D2AEA3B}" cache="Slicer_Category" caption="Category" style="SlicerStyleDark1" rowHeight="468000"/>
  <slicer name="Salesperson 4" xr10:uid="{A02622A2-8973-48C7-931E-2BB21AF4FB58}" cache="Slicer_Salesperson" caption="Salesperson" columnCount="3" style="SlicerStyleDark1" rowHeight="46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C9BF68-4742-4BFB-84DC-24D655D76598}" cache="Slicer_Region" caption="Region" rowHeight="234950"/>
  <slicer name="Product" xr10:uid="{BC86CED0-45F1-4E1C-9B72-B0C31841C56A}" cache="Slicer_Product" caption="Product" columnCount="8" rowHeight="396000"/>
  <slicer name="Category" xr10:uid="{C0382E8A-6CF6-4DDF-9915-6643E602C107}" cache="Slicer_Category" caption="Category" rowHeight="234950"/>
  <slicer name="Salesperson" xr10:uid="{55C408BE-EC22-424D-B46A-B5AF1AD529B8}" cache="Slicer_Salesperson" caption="Salesperson" columnCount="3" rowHeight="234950"/>
  <slicer name="Customer_Name" xr10:uid="{F9BBB884-2008-48F6-851A-E740F7544407}" cache="Slicer_Customer_Name" caption="Customer_Name" startItem="4" rowHeight="234950"/>
  <slicer name="Product 1" xr10:uid="{F83FB10A-D8C6-4570-8015-3BB2F4BCA3CC}" cache="Slicer_Product1" caption="Product" rowHeight="234950"/>
  <slicer name="Salesperson 3" xr10:uid="{15B7658A-58EB-41DB-9D59-2D224E36037A}" cache="Slicer_Salesperson1" caption="Salesperson" rowHeight="234950"/>
  <slicer name="Quantity" xr10:uid="{333CC52B-DBF7-43A7-ACA1-F38537B89707}" cache="Slicer_Quantity" caption="Quant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1A65E-6E9A-4E4F-AA8F-0FBFB69D2397}" name="Table1" displayName="Table1" ref="A1:L41" totalsRowShown="0" headerRowDxfId="17" dataDxfId="15" headerRowBorderDxfId="16" tableBorderDxfId="14" totalsRowBorderDxfId="13">
  <tableColumns count="12">
    <tableColumn id="1" xr3:uid="{24DF50AE-F306-4971-946E-1CE482DB50E6}" name="Order_ID" dataDxfId="12"/>
    <tableColumn id="2" xr3:uid="{E09E5648-27D9-4CF8-8DC4-BF6AB39C6010}" name="Date" dataDxfId="11"/>
    <tableColumn id="3" xr3:uid="{88DC262C-BDC8-423E-A88B-F3FDA98B4F95}" name="Customer_Name" dataDxfId="10"/>
    <tableColumn id="4" xr3:uid="{BD7F1A0E-A019-4FC5-AAD6-2C557D93ADF7}" name="Region" dataDxfId="9"/>
    <tableColumn id="5" xr3:uid="{97C8F147-92A1-4895-AB8E-BFCED1C434A3}" name="Category" dataDxfId="8"/>
    <tableColumn id="6" xr3:uid="{9CED8459-9DB5-42D9-98A6-E31CD8D01C7A}" name="Product" dataDxfId="7"/>
    <tableColumn id="7" xr3:uid="{C176A2F3-7183-474D-B8AC-F1EF23E10C55}" name="Quantity" dataDxfId="6"/>
    <tableColumn id="8" xr3:uid="{FD008467-9210-41E9-A94E-0E86B5665C39}" name="Unit_Price" dataDxfId="5"/>
    <tableColumn id="9" xr3:uid="{C3D10D2E-DE37-4021-8BC8-34339C1C5F04}" name="Sales" dataDxfId="4"/>
    <tableColumn id="10" xr3:uid="{FBF3465A-138F-48A4-9EB1-8CB75C803A4B}" name="Profit" dataDxfId="3"/>
    <tableColumn id="11" xr3:uid="{68EAD205-4537-47B7-A935-73DEE8C42C05}" name="Payment_Mode" dataDxfId="2"/>
    <tableColumn id="12" xr3:uid="{DFFF16CB-63F2-48D8-B67A-26BA80F6BB50}" name="Salesperson" dataDxfId="1"/>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A45D275-025B-4341-AB04-1093574B0D01}" sourceName="Date">
  <pivotTables>
    <pivotTable tabId="9" name="PivotTable7"/>
    <pivotTable tabId="9" name="PivotTable8"/>
    <pivotTable tabId="9" name="PivotTable9"/>
    <pivotTable tabId="9" name="PivotTable10"/>
    <pivotTable tabId="9" name="PivotTable1"/>
    <pivotTable tabId="9" name="PivotTable2"/>
    <pivotTable tabId="9" name="PivotTable3"/>
    <pivotTable tabId="9" name="PivotTable4"/>
    <pivotTable tabId="9" name="PivotTable5"/>
    <pivotTable tabId="9" name="PivotTable6"/>
    <pivotTable tabId="9" name="PivotTable11"/>
    <pivotTable tabId="9" name="PivotTable12"/>
    <pivotTable tabId="9" name="PivotTable14"/>
    <pivotTable tabId="9" name="PivotTable15"/>
    <pivotTable tabId="9" name="PivotTable16"/>
    <pivotTable tabId="9" name="PivotTable13"/>
    <pivotTable tabId="9" name="PivotTable17"/>
    <pivotTable tabId="9" name="PivotTable18"/>
    <pivotTable tabId="9" name="PivotTable20"/>
  </pivotTables>
  <state minimalRefreshVersion="6" lastRefreshVersion="6" pivotCacheId="24556454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522F992-D4CC-4E95-A676-270776AF5258}" cache="Nativ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6C085BD-28A4-480D-9C0A-E4FAA1BD7294}" cache="NativeTimeline_Date" caption="Date" level="2" selectionLevel="2"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B57DEE6-CA40-4C2D-BD91-E28ACB5562C9}" cache="NativeTimeline_Date" caption="Date" level="2" selectionLevel="2" scrollPosition="2025-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66C091-22EF-4B70-AA4D-13C8861F7ED5}" cache="NativeTimeline_Date" caption="Date" level="2" selectionLevel="2" scrollPosition="202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ADDC-EEEB-4C24-81A1-649364348D2E}">
  <sheetPr>
    <tabColor theme="6"/>
  </sheetPr>
  <dimension ref="A1"/>
  <sheetViews>
    <sheetView zoomScale="55"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CE86-3B2C-4F33-B87E-D118590B1ED1}">
  <sheetPr>
    <tabColor theme="6"/>
  </sheetPr>
  <dimension ref="A1"/>
  <sheetViews>
    <sheetView zoomScale="63"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4D6F-F869-4FCC-8D82-64C34BF94460}">
  <sheetPr>
    <tabColor theme="6"/>
  </sheetPr>
  <dimension ref="A1"/>
  <sheetViews>
    <sheetView tabSelected="1" zoomScale="57"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
  <sheetViews>
    <sheetView zoomScale="116" workbookViewId="0">
      <pane ySplit="1" topLeftCell="A17" activePane="bottomLeft" state="frozen"/>
      <selection pane="bottomLeft" activeCell="C9" sqref="C9"/>
    </sheetView>
  </sheetViews>
  <sheetFormatPr defaultRowHeight="14.4" x14ac:dyDescent="0.3"/>
  <cols>
    <col min="1" max="1" width="10.77734375" customWidth="1"/>
    <col min="2" max="2" width="13.33203125" customWidth="1"/>
    <col min="3" max="3" width="17.44140625" customWidth="1"/>
    <col min="4" max="4" width="9" customWidth="1"/>
    <col min="5" max="5" width="12.21875" customWidth="1"/>
    <col min="6" max="6" width="14" customWidth="1"/>
    <col min="7" max="7" width="10.5546875" customWidth="1"/>
    <col min="8" max="8" width="11.88671875" customWidth="1"/>
    <col min="10" max="10" width="7.88671875" customWidth="1"/>
    <col min="11" max="11" width="16.88671875" customWidth="1"/>
    <col min="12" max="12" width="13.21875" customWidth="1"/>
  </cols>
  <sheetData>
    <row r="1" spans="1:12" x14ac:dyDescent="0.3">
      <c r="A1" s="1" t="s">
        <v>0</v>
      </c>
      <c r="B1" s="12" t="s">
        <v>86</v>
      </c>
      <c r="C1" s="2" t="s">
        <v>1</v>
      </c>
      <c r="D1" s="2" t="s">
        <v>2</v>
      </c>
      <c r="E1" s="2" t="s">
        <v>3</v>
      </c>
      <c r="F1" s="2" t="s">
        <v>4</v>
      </c>
      <c r="G1" s="2" t="s">
        <v>5</v>
      </c>
      <c r="H1" s="2" t="s">
        <v>6</v>
      </c>
      <c r="I1" s="2" t="s">
        <v>7</v>
      </c>
      <c r="J1" s="2" t="s">
        <v>8</v>
      </c>
      <c r="K1" s="2" t="s">
        <v>9</v>
      </c>
      <c r="L1" s="3" t="s">
        <v>10</v>
      </c>
    </row>
    <row r="2" spans="1:12" ht="18" x14ac:dyDescent="0.35">
      <c r="A2" s="4" t="s">
        <v>11</v>
      </c>
      <c r="B2" s="10">
        <v>45658</v>
      </c>
      <c r="C2" s="5" t="s">
        <v>12</v>
      </c>
      <c r="D2" s="5" t="s">
        <v>13</v>
      </c>
      <c r="E2" s="5" t="s">
        <v>14</v>
      </c>
      <c r="F2" s="5" t="s">
        <v>15</v>
      </c>
      <c r="G2" s="5">
        <v>2</v>
      </c>
      <c r="H2" s="5">
        <v>55000</v>
      </c>
      <c r="I2" s="5">
        <v>110000</v>
      </c>
      <c r="J2" s="5">
        <v>12000</v>
      </c>
      <c r="K2" s="5" t="s">
        <v>16</v>
      </c>
      <c r="L2" s="6" t="s">
        <v>17</v>
      </c>
    </row>
    <row r="3" spans="1:12" ht="18" x14ac:dyDescent="0.35">
      <c r="A3" s="4" t="s">
        <v>18</v>
      </c>
      <c r="B3" s="10">
        <v>45659</v>
      </c>
      <c r="C3" s="5" t="s">
        <v>19</v>
      </c>
      <c r="D3" s="5" t="s">
        <v>20</v>
      </c>
      <c r="E3" s="5" t="s">
        <v>21</v>
      </c>
      <c r="F3" s="5" t="s">
        <v>22</v>
      </c>
      <c r="G3" s="5">
        <v>5</v>
      </c>
      <c r="H3" s="5">
        <v>2500</v>
      </c>
      <c r="I3" s="5">
        <v>12500</v>
      </c>
      <c r="J3" s="5">
        <v>2500</v>
      </c>
      <c r="K3" s="5" t="s">
        <v>23</v>
      </c>
      <c r="L3" s="6" t="s">
        <v>24</v>
      </c>
    </row>
    <row r="4" spans="1:12" ht="18" x14ac:dyDescent="0.35">
      <c r="A4" s="4" t="s">
        <v>25</v>
      </c>
      <c r="B4" s="10">
        <v>45660</v>
      </c>
      <c r="C4" s="5" t="s">
        <v>26</v>
      </c>
      <c r="D4" s="5" t="s">
        <v>27</v>
      </c>
      <c r="E4" s="5" t="s">
        <v>14</v>
      </c>
      <c r="F4" s="5" t="s">
        <v>28</v>
      </c>
      <c r="G4" s="5">
        <v>3</v>
      </c>
      <c r="H4" s="5">
        <v>18000</v>
      </c>
      <c r="I4" s="5">
        <v>54000</v>
      </c>
      <c r="J4" s="5">
        <v>6000</v>
      </c>
      <c r="K4" s="5" t="s">
        <v>29</v>
      </c>
      <c r="L4" s="6" t="s">
        <v>12</v>
      </c>
    </row>
    <row r="5" spans="1:12" ht="18" x14ac:dyDescent="0.35">
      <c r="A5" s="4" t="s">
        <v>30</v>
      </c>
      <c r="B5" s="10">
        <v>45662</v>
      </c>
      <c r="C5" s="5" t="s">
        <v>31</v>
      </c>
      <c r="D5" s="5" t="s">
        <v>32</v>
      </c>
      <c r="E5" s="5" t="s">
        <v>33</v>
      </c>
      <c r="F5" s="5" t="s">
        <v>34</v>
      </c>
      <c r="G5" s="5">
        <v>20</v>
      </c>
      <c r="H5" s="5">
        <v>100</v>
      </c>
      <c r="I5" s="5">
        <v>2000</v>
      </c>
      <c r="J5" s="5">
        <v>500</v>
      </c>
      <c r="K5" s="5" t="s">
        <v>16</v>
      </c>
      <c r="L5" s="6" t="s">
        <v>17</v>
      </c>
    </row>
    <row r="6" spans="1:12" ht="18" x14ac:dyDescent="0.35">
      <c r="A6" s="4" t="s">
        <v>35</v>
      </c>
      <c r="B6" s="10">
        <v>45664</v>
      </c>
      <c r="C6" s="5" t="s">
        <v>36</v>
      </c>
      <c r="D6" s="5" t="s">
        <v>13</v>
      </c>
      <c r="E6" s="5" t="s">
        <v>21</v>
      </c>
      <c r="F6" s="5" t="s">
        <v>37</v>
      </c>
      <c r="G6" s="5">
        <v>2</v>
      </c>
      <c r="H6" s="5">
        <v>7000</v>
      </c>
      <c r="I6" s="5">
        <v>14000</v>
      </c>
      <c r="J6" s="5">
        <v>2800</v>
      </c>
      <c r="K6" s="5" t="s">
        <v>29</v>
      </c>
      <c r="L6" s="6" t="s">
        <v>24</v>
      </c>
    </row>
    <row r="7" spans="1:12" ht="18" x14ac:dyDescent="0.35">
      <c r="A7" s="4" t="s">
        <v>38</v>
      </c>
      <c r="B7" s="10">
        <v>45665</v>
      </c>
      <c r="C7" s="5" t="s">
        <v>39</v>
      </c>
      <c r="D7" s="5" t="s">
        <v>20</v>
      </c>
      <c r="E7" s="5" t="s">
        <v>14</v>
      </c>
      <c r="F7" s="5" t="s">
        <v>40</v>
      </c>
      <c r="G7" s="5">
        <v>4</v>
      </c>
      <c r="H7" s="5">
        <v>2000</v>
      </c>
      <c r="I7" s="5">
        <v>8000</v>
      </c>
      <c r="J7" s="5">
        <v>1600</v>
      </c>
      <c r="K7" s="5" t="s">
        <v>16</v>
      </c>
      <c r="L7" s="6" t="s">
        <v>12</v>
      </c>
    </row>
    <row r="8" spans="1:12" ht="18" x14ac:dyDescent="0.35">
      <c r="A8" s="4" t="s">
        <v>41</v>
      </c>
      <c r="B8" s="10">
        <v>45667</v>
      </c>
      <c r="C8" s="5" t="s">
        <v>42</v>
      </c>
      <c r="D8" s="5" t="s">
        <v>27</v>
      </c>
      <c r="E8" s="5" t="s">
        <v>33</v>
      </c>
      <c r="F8" s="5" t="s">
        <v>43</v>
      </c>
      <c r="G8" s="5">
        <v>50</v>
      </c>
      <c r="H8" s="5">
        <v>20</v>
      </c>
      <c r="I8" s="5">
        <v>1000</v>
      </c>
      <c r="J8" s="5">
        <v>200</v>
      </c>
      <c r="K8" s="5" t="s">
        <v>23</v>
      </c>
      <c r="L8" s="6" t="s">
        <v>17</v>
      </c>
    </row>
    <row r="9" spans="1:12" ht="18" x14ac:dyDescent="0.35">
      <c r="A9" s="4" t="s">
        <v>44</v>
      </c>
      <c r="B9" s="10">
        <v>45669</v>
      </c>
      <c r="C9" s="5" t="s">
        <v>45</v>
      </c>
      <c r="D9" s="5" t="s">
        <v>32</v>
      </c>
      <c r="E9" s="5" t="s">
        <v>14</v>
      </c>
      <c r="F9" s="5" t="s">
        <v>46</v>
      </c>
      <c r="G9" s="5">
        <v>2</v>
      </c>
      <c r="H9" s="5">
        <v>25000</v>
      </c>
      <c r="I9" s="5">
        <v>50000</v>
      </c>
      <c r="J9" s="5">
        <v>7000</v>
      </c>
      <c r="K9" s="5" t="s">
        <v>29</v>
      </c>
      <c r="L9" s="6" t="s">
        <v>24</v>
      </c>
    </row>
    <row r="10" spans="1:12" ht="18" x14ac:dyDescent="0.35">
      <c r="A10" s="4" t="s">
        <v>47</v>
      </c>
      <c r="B10" s="10">
        <v>45672</v>
      </c>
      <c r="C10" s="5" t="s">
        <v>48</v>
      </c>
      <c r="D10" s="5" t="s">
        <v>13</v>
      </c>
      <c r="E10" s="5" t="s">
        <v>14</v>
      </c>
      <c r="F10" s="5" t="s">
        <v>15</v>
      </c>
      <c r="G10" s="5">
        <v>1</v>
      </c>
      <c r="H10" s="5">
        <v>55000</v>
      </c>
      <c r="I10" s="5">
        <v>55000</v>
      </c>
      <c r="J10" s="5">
        <v>6000</v>
      </c>
      <c r="K10" s="5" t="s">
        <v>16</v>
      </c>
      <c r="L10" s="6" t="s">
        <v>12</v>
      </c>
    </row>
    <row r="11" spans="1:12" ht="18" x14ac:dyDescent="0.35">
      <c r="A11" s="4" t="s">
        <v>49</v>
      </c>
      <c r="B11" s="10">
        <v>45674</v>
      </c>
      <c r="C11" s="5" t="s">
        <v>50</v>
      </c>
      <c r="D11" s="5" t="s">
        <v>20</v>
      </c>
      <c r="E11" s="5" t="s">
        <v>21</v>
      </c>
      <c r="F11" s="5" t="s">
        <v>22</v>
      </c>
      <c r="G11" s="5">
        <v>10</v>
      </c>
      <c r="H11" s="5">
        <v>2500</v>
      </c>
      <c r="I11" s="5">
        <v>25000</v>
      </c>
      <c r="J11" s="5">
        <v>5000</v>
      </c>
      <c r="K11" s="5" t="s">
        <v>23</v>
      </c>
      <c r="L11" s="6" t="s">
        <v>17</v>
      </c>
    </row>
    <row r="12" spans="1:12" ht="18" x14ac:dyDescent="0.35">
      <c r="A12" s="4" t="s">
        <v>51</v>
      </c>
      <c r="B12" s="10">
        <v>45677</v>
      </c>
      <c r="C12" s="5" t="s">
        <v>52</v>
      </c>
      <c r="D12" s="5" t="s">
        <v>27</v>
      </c>
      <c r="E12" s="5" t="s">
        <v>14</v>
      </c>
      <c r="F12" s="5" t="s">
        <v>28</v>
      </c>
      <c r="G12" s="5">
        <v>2</v>
      </c>
      <c r="H12" s="5">
        <v>18000</v>
      </c>
      <c r="I12" s="5">
        <v>36000</v>
      </c>
      <c r="J12" s="5">
        <v>4000</v>
      </c>
      <c r="K12" s="5" t="s">
        <v>29</v>
      </c>
      <c r="L12" s="6" t="s">
        <v>24</v>
      </c>
    </row>
    <row r="13" spans="1:12" ht="18" x14ac:dyDescent="0.35">
      <c r="A13" s="4" t="s">
        <v>53</v>
      </c>
      <c r="B13" s="10">
        <v>45679</v>
      </c>
      <c r="C13" s="5" t="s">
        <v>54</v>
      </c>
      <c r="D13" s="5" t="s">
        <v>32</v>
      </c>
      <c r="E13" s="5" t="s">
        <v>33</v>
      </c>
      <c r="F13" s="5" t="s">
        <v>34</v>
      </c>
      <c r="G13" s="5">
        <v>30</v>
      </c>
      <c r="H13" s="5">
        <v>100</v>
      </c>
      <c r="I13" s="5">
        <v>3000</v>
      </c>
      <c r="J13" s="5">
        <v>700</v>
      </c>
      <c r="K13" s="5" t="s">
        <v>16</v>
      </c>
      <c r="L13" s="6" t="s">
        <v>12</v>
      </c>
    </row>
    <row r="14" spans="1:12" ht="18" x14ac:dyDescent="0.35">
      <c r="A14" s="4" t="s">
        <v>55</v>
      </c>
      <c r="B14" s="10">
        <v>45682</v>
      </c>
      <c r="C14" s="5" t="s">
        <v>56</v>
      </c>
      <c r="D14" s="5" t="s">
        <v>13</v>
      </c>
      <c r="E14" s="5" t="s">
        <v>21</v>
      </c>
      <c r="F14" s="5" t="s">
        <v>37</v>
      </c>
      <c r="G14" s="5">
        <v>3</v>
      </c>
      <c r="H14" s="5">
        <v>7000</v>
      </c>
      <c r="I14" s="5">
        <v>21000</v>
      </c>
      <c r="J14" s="5">
        <v>4000</v>
      </c>
      <c r="K14" s="5" t="s">
        <v>23</v>
      </c>
      <c r="L14" s="6" t="s">
        <v>17</v>
      </c>
    </row>
    <row r="15" spans="1:12" ht="18" x14ac:dyDescent="0.35">
      <c r="A15" s="4" t="s">
        <v>57</v>
      </c>
      <c r="B15" s="10">
        <v>45685</v>
      </c>
      <c r="C15" s="5" t="s">
        <v>58</v>
      </c>
      <c r="D15" s="5" t="s">
        <v>20</v>
      </c>
      <c r="E15" s="5" t="s">
        <v>14</v>
      </c>
      <c r="F15" s="5" t="s">
        <v>40</v>
      </c>
      <c r="G15" s="5">
        <v>5</v>
      </c>
      <c r="H15" s="5">
        <v>2000</v>
      </c>
      <c r="I15" s="5">
        <v>10000</v>
      </c>
      <c r="J15" s="5">
        <v>2000</v>
      </c>
      <c r="K15" s="5" t="s">
        <v>16</v>
      </c>
      <c r="L15" s="6" t="s">
        <v>24</v>
      </c>
    </row>
    <row r="16" spans="1:12" ht="18" x14ac:dyDescent="0.35">
      <c r="A16" s="4" t="s">
        <v>59</v>
      </c>
      <c r="B16" s="10">
        <v>45687</v>
      </c>
      <c r="C16" s="5" t="s">
        <v>60</v>
      </c>
      <c r="D16" s="5" t="s">
        <v>27</v>
      </c>
      <c r="E16" s="5" t="s">
        <v>33</v>
      </c>
      <c r="F16" s="5" t="s">
        <v>43</v>
      </c>
      <c r="G16" s="5">
        <v>100</v>
      </c>
      <c r="H16" s="5">
        <v>20</v>
      </c>
      <c r="I16" s="5">
        <v>2000</v>
      </c>
      <c r="J16" s="5">
        <v>400</v>
      </c>
      <c r="K16" s="5" t="s">
        <v>29</v>
      </c>
      <c r="L16" s="6" t="s">
        <v>12</v>
      </c>
    </row>
    <row r="17" spans="1:12" ht="18" x14ac:dyDescent="0.35">
      <c r="A17" s="4" t="s">
        <v>61</v>
      </c>
      <c r="B17" s="10">
        <v>45690</v>
      </c>
      <c r="C17" s="5" t="s">
        <v>12</v>
      </c>
      <c r="D17" s="5" t="s">
        <v>32</v>
      </c>
      <c r="E17" s="5" t="s">
        <v>14</v>
      </c>
      <c r="F17" s="5" t="s">
        <v>46</v>
      </c>
      <c r="G17" s="5">
        <v>1</v>
      </c>
      <c r="H17" s="5">
        <v>25000</v>
      </c>
      <c r="I17" s="5">
        <v>25000</v>
      </c>
      <c r="J17" s="5">
        <v>3500</v>
      </c>
      <c r="K17" s="5" t="s">
        <v>16</v>
      </c>
      <c r="L17" s="6" t="s">
        <v>17</v>
      </c>
    </row>
    <row r="18" spans="1:12" ht="18" x14ac:dyDescent="0.35">
      <c r="A18" s="4" t="s">
        <v>62</v>
      </c>
      <c r="B18" s="10">
        <v>45692</v>
      </c>
      <c r="C18" s="5" t="s">
        <v>19</v>
      </c>
      <c r="D18" s="5" t="s">
        <v>13</v>
      </c>
      <c r="E18" s="5" t="s">
        <v>14</v>
      </c>
      <c r="F18" s="5" t="s">
        <v>15</v>
      </c>
      <c r="G18" s="5">
        <v>2</v>
      </c>
      <c r="H18" s="5">
        <v>55000</v>
      </c>
      <c r="I18" s="5">
        <v>110000</v>
      </c>
      <c r="J18" s="5">
        <v>12000</v>
      </c>
      <c r="K18" s="5" t="s">
        <v>29</v>
      </c>
      <c r="L18" s="6" t="s">
        <v>24</v>
      </c>
    </row>
    <row r="19" spans="1:12" ht="18" x14ac:dyDescent="0.35">
      <c r="A19" s="4" t="s">
        <v>63</v>
      </c>
      <c r="B19" s="10">
        <v>45694</v>
      </c>
      <c r="C19" s="5" t="s">
        <v>26</v>
      </c>
      <c r="D19" s="5" t="s">
        <v>20</v>
      </c>
      <c r="E19" s="5" t="s">
        <v>21</v>
      </c>
      <c r="F19" s="5" t="s">
        <v>22</v>
      </c>
      <c r="G19" s="5">
        <v>8</v>
      </c>
      <c r="H19" s="5">
        <v>2500</v>
      </c>
      <c r="I19" s="5">
        <v>20000</v>
      </c>
      <c r="J19" s="5">
        <v>4000</v>
      </c>
      <c r="K19" s="5" t="s">
        <v>23</v>
      </c>
      <c r="L19" s="6" t="s">
        <v>12</v>
      </c>
    </row>
    <row r="20" spans="1:12" ht="18" x14ac:dyDescent="0.35">
      <c r="A20" s="4" t="s">
        <v>64</v>
      </c>
      <c r="B20" s="10">
        <v>45696</v>
      </c>
      <c r="C20" s="5" t="s">
        <v>31</v>
      </c>
      <c r="D20" s="5" t="s">
        <v>27</v>
      </c>
      <c r="E20" s="5" t="s">
        <v>14</v>
      </c>
      <c r="F20" s="5" t="s">
        <v>28</v>
      </c>
      <c r="G20" s="5">
        <v>4</v>
      </c>
      <c r="H20" s="5">
        <v>18000</v>
      </c>
      <c r="I20" s="5">
        <v>72000</v>
      </c>
      <c r="J20" s="5">
        <v>8000</v>
      </c>
      <c r="K20" s="5" t="s">
        <v>16</v>
      </c>
      <c r="L20" s="6" t="s">
        <v>17</v>
      </c>
    </row>
    <row r="21" spans="1:12" ht="18" x14ac:dyDescent="0.35">
      <c r="A21" s="4" t="s">
        <v>65</v>
      </c>
      <c r="B21" s="10">
        <v>45698</v>
      </c>
      <c r="C21" s="5" t="s">
        <v>36</v>
      </c>
      <c r="D21" s="5" t="s">
        <v>32</v>
      </c>
      <c r="E21" s="5" t="s">
        <v>33</v>
      </c>
      <c r="F21" s="5" t="s">
        <v>34</v>
      </c>
      <c r="G21" s="5">
        <v>25</v>
      </c>
      <c r="H21" s="5">
        <v>100</v>
      </c>
      <c r="I21" s="5">
        <v>2500</v>
      </c>
      <c r="J21" s="5">
        <v>600</v>
      </c>
      <c r="K21" s="5" t="s">
        <v>29</v>
      </c>
      <c r="L21" s="6" t="s">
        <v>24</v>
      </c>
    </row>
    <row r="22" spans="1:12" ht="18" x14ac:dyDescent="0.35">
      <c r="A22" s="4" t="s">
        <v>66</v>
      </c>
      <c r="B22" s="10">
        <v>45700</v>
      </c>
      <c r="C22" s="5" t="s">
        <v>39</v>
      </c>
      <c r="D22" s="5" t="s">
        <v>13</v>
      </c>
      <c r="E22" s="5" t="s">
        <v>21</v>
      </c>
      <c r="F22" s="5" t="s">
        <v>37</v>
      </c>
      <c r="G22" s="5">
        <v>2</v>
      </c>
      <c r="H22" s="5">
        <v>7000</v>
      </c>
      <c r="I22" s="5">
        <v>14000</v>
      </c>
      <c r="J22" s="5">
        <v>2800</v>
      </c>
      <c r="K22" s="5" t="s">
        <v>16</v>
      </c>
      <c r="L22" s="6" t="s">
        <v>12</v>
      </c>
    </row>
    <row r="23" spans="1:12" ht="18" x14ac:dyDescent="0.35">
      <c r="A23" s="4" t="s">
        <v>67</v>
      </c>
      <c r="B23" s="10">
        <v>45703</v>
      </c>
      <c r="C23" s="5" t="s">
        <v>42</v>
      </c>
      <c r="D23" s="5" t="s">
        <v>20</v>
      </c>
      <c r="E23" s="5" t="s">
        <v>14</v>
      </c>
      <c r="F23" s="5" t="s">
        <v>40</v>
      </c>
      <c r="G23" s="5">
        <v>6</v>
      </c>
      <c r="H23" s="5">
        <v>2000</v>
      </c>
      <c r="I23" s="5">
        <v>12000</v>
      </c>
      <c r="J23" s="5">
        <v>2500</v>
      </c>
      <c r="K23" s="5" t="s">
        <v>23</v>
      </c>
      <c r="L23" s="6" t="s">
        <v>17</v>
      </c>
    </row>
    <row r="24" spans="1:12" ht="18" x14ac:dyDescent="0.35">
      <c r="A24" s="4" t="s">
        <v>68</v>
      </c>
      <c r="B24" s="10">
        <v>45706</v>
      </c>
      <c r="C24" s="5" t="s">
        <v>45</v>
      </c>
      <c r="D24" s="5" t="s">
        <v>27</v>
      </c>
      <c r="E24" s="5" t="s">
        <v>33</v>
      </c>
      <c r="F24" s="5" t="s">
        <v>43</v>
      </c>
      <c r="G24" s="5">
        <v>75</v>
      </c>
      <c r="H24" s="5">
        <v>20</v>
      </c>
      <c r="I24" s="5">
        <v>1500</v>
      </c>
      <c r="J24" s="5">
        <v>300</v>
      </c>
      <c r="K24" s="5" t="s">
        <v>29</v>
      </c>
      <c r="L24" s="6" t="s">
        <v>24</v>
      </c>
    </row>
    <row r="25" spans="1:12" ht="18" x14ac:dyDescent="0.35">
      <c r="A25" s="4" t="s">
        <v>69</v>
      </c>
      <c r="B25" s="10">
        <v>45708</v>
      </c>
      <c r="C25" s="5" t="s">
        <v>48</v>
      </c>
      <c r="D25" s="5" t="s">
        <v>32</v>
      </c>
      <c r="E25" s="5" t="s">
        <v>14</v>
      </c>
      <c r="F25" s="5" t="s">
        <v>46</v>
      </c>
      <c r="G25" s="5">
        <v>3</v>
      </c>
      <c r="H25" s="5">
        <v>25000</v>
      </c>
      <c r="I25" s="5">
        <v>75000</v>
      </c>
      <c r="J25" s="5">
        <v>10000</v>
      </c>
      <c r="K25" s="5" t="s">
        <v>16</v>
      </c>
      <c r="L25" s="6" t="s">
        <v>12</v>
      </c>
    </row>
    <row r="26" spans="1:12" ht="18" x14ac:dyDescent="0.35">
      <c r="A26" s="4" t="s">
        <v>70</v>
      </c>
      <c r="B26" s="10">
        <v>45710</v>
      </c>
      <c r="C26" s="5" t="s">
        <v>50</v>
      </c>
      <c r="D26" s="5" t="s">
        <v>13</v>
      </c>
      <c r="E26" s="5" t="s">
        <v>14</v>
      </c>
      <c r="F26" s="5" t="s">
        <v>15</v>
      </c>
      <c r="G26" s="5">
        <v>1</v>
      </c>
      <c r="H26" s="5">
        <v>55000</v>
      </c>
      <c r="I26" s="5">
        <v>55000</v>
      </c>
      <c r="J26" s="5">
        <v>6000</v>
      </c>
      <c r="K26" s="5" t="s">
        <v>23</v>
      </c>
      <c r="L26" s="6" t="s">
        <v>17</v>
      </c>
    </row>
    <row r="27" spans="1:12" ht="18" x14ac:dyDescent="0.35">
      <c r="A27" s="4" t="s">
        <v>71</v>
      </c>
      <c r="B27" s="10">
        <v>45713</v>
      </c>
      <c r="C27" s="5" t="s">
        <v>52</v>
      </c>
      <c r="D27" s="5" t="s">
        <v>20</v>
      </c>
      <c r="E27" s="5" t="s">
        <v>21</v>
      </c>
      <c r="F27" s="5" t="s">
        <v>22</v>
      </c>
      <c r="G27" s="5">
        <v>12</v>
      </c>
      <c r="H27" s="5">
        <v>2500</v>
      </c>
      <c r="I27" s="5">
        <v>30000</v>
      </c>
      <c r="J27" s="5">
        <v>6000</v>
      </c>
      <c r="K27" s="5" t="s">
        <v>16</v>
      </c>
      <c r="L27" s="6" t="s">
        <v>24</v>
      </c>
    </row>
    <row r="28" spans="1:12" ht="18" x14ac:dyDescent="0.35">
      <c r="A28" s="4" t="s">
        <v>72</v>
      </c>
      <c r="B28" s="10">
        <v>45715</v>
      </c>
      <c r="C28" s="5" t="s">
        <v>54</v>
      </c>
      <c r="D28" s="5" t="s">
        <v>27</v>
      </c>
      <c r="E28" s="5" t="s">
        <v>14</v>
      </c>
      <c r="F28" s="5" t="s">
        <v>28</v>
      </c>
      <c r="G28" s="5">
        <v>2</v>
      </c>
      <c r="H28" s="5">
        <v>18000</v>
      </c>
      <c r="I28" s="5">
        <v>36000</v>
      </c>
      <c r="J28" s="5">
        <v>4000</v>
      </c>
      <c r="K28" s="5" t="s">
        <v>29</v>
      </c>
      <c r="L28" s="6" t="s">
        <v>12</v>
      </c>
    </row>
    <row r="29" spans="1:12" ht="18" x14ac:dyDescent="0.35">
      <c r="A29" s="4" t="s">
        <v>73</v>
      </c>
      <c r="B29" s="10">
        <v>45717</v>
      </c>
      <c r="C29" s="5" t="s">
        <v>56</v>
      </c>
      <c r="D29" s="5" t="s">
        <v>32</v>
      </c>
      <c r="E29" s="5" t="s">
        <v>33</v>
      </c>
      <c r="F29" s="5" t="s">
        <v>34</v>
      </c>
      <c r="G29" s="5">
        <v>40</v>
      </c>
      <c r="H29" s="5">
        <v>100</v>
      </c>
      <c r="I29" s="5">
        <v>4000</v>
      </c>
      <c r="J29" s="5">
        <v>900</v>
      </c>
      <c r="K29" s="5" t="s">
        <v>16</v>
      </c>
      <c r="L29" s="6" t="s">
        <v>17</v>
      </c>
    </row>
    <row r="30" spans="1:12" ht="18" x14ac:dyDescent="0.35">
      <c r="A30" s="4" t="s">
        <v>74</v>
      </c>
      <c r="B30" s="10">
        <v>45719</v>
      </c>
      <c r="C30" s="5" t="s">
        <v>58</v>
      </c>
      <c r="D30" s="5" t="s">
        <v>13</v>
      </c>
      <c r="E30" s="5" t="s">
        <v>21</v>
      </c>
      <c r="F30" s="5" t="s">
        <v>37</v>
      </c>
      <c r="G30" s="5">
        <v>4</v>
      </c>
      <c r="H30" s="5">
        <v>7000</v>
      </c>
      <c r="I30" s="5">
        <v>28000</v>
      </c>
      <c r="J30" s="5">
        <v>5500</v>
      </c>
      <c r="K30" s="5" t="s">
        <v>29</v>
      </c>
      <c r="L30" s="6" t="s">
        <v>24</v>
      </c>
    </row>
    <row r="31" spans="1:12" ht="18" x14ac:dyDescent="0.35">
      <c r="A31" s="4" t="s">
        <v>75</v>
      </c>
      <c r="B31" s="10">
        <v>45721</v>
      </c>
      <c r="C31" s="5" t="s">
        <v>60</v>
      </c>
      <c r="D31" s="5" t="s">
        <v>20</v>
      </c>
      <c r="E31" s="5" t="s">
        <v>14</v>
      </c>
      <c r="F31" s="5" t="s">
        <v>40</v>
      </c>
      <c r="G31" s="5">
        <v>8</v>
      </c>
      <c r="H31" s="5">
        <v>2000</v>
      </c>
      <c r="I31" s="5">
        <v>16000</v>
      </c>
      <c r="J31" s="5">
        <v>3200</v>
      </c>
      <c r="K31" s="5" t="s">
        <v>23</v>
      </c>
      <c r="L31" s="6" t="s">
        <v>12</v>
      </c>
    </row>
    <row r="32" spans="1:12" ht="18" x14ac:dyDescent="0.35">
      <c r="A32" s="4" t="s">
        <v>76</v>
      </c>
      <c r="B32" s="10">
        <v>45723</v>
      </c>
      <c r="C32" s="5" t="s">
        <v>12</v>
      </c>
      <c r="D32" s="5" t="s">
        <v>27</v>
      </c>
      <c r="E32" s="5" t="s">
        <v>33</v>
      </c>
      <c r="F32" s="5" t="s">
        <v>43</v>
      </c>
      <c r="G32" s="5">
        <v>120</v>
      </c>
      <c r="H32" s="5">
        <v>20</v>
      </c>
      <c r="I32" s="5">
        <v>2400</v>
      </c>
      <c r="J32" s="5">
        <v>500</v>
      </c>
      <c r="K32" s="5" t="s">
        <v>16</v>
      </c>
      <c r="L32" s="6" t="s">
        <v>17</v>
      </c>
    </row>
    <row r="33" spans="1:12" ht="18" x14ac:dyDescent="0.35">
      <c r="A33" s="4" t="s">
        <v>77</v>
      </c>
      <c r="B33" s="10">
        <v>45725</v>
      </c>
      <c r="C33" s="5" t="s">
        <v>19</v>
      </c>
      <c r="D33" s="5" t="s">
        <v>32</v>
      </c>
      <c r="E33" s="5" t="s">
        <v>14</v>
      </c>
      <c r="F33" s="5" t="s">
        <v>46</v>
      </c>
      <c r="G33" s="5">
        <v>2</v>
      </c>
      <c r="H33" s="5">
        <v>25000</v>
      </c>
      <c r="I33" s="5">
        <v>50000</v>
      </c>
      <c r="J33" s="5">
        <v>7000</v>
      </c>
      <c r="K33" s="5" t="s">
        <v>29</v>
      </c>
      <c r="L33" s="6" t="s">
        <v>24</v>
      </c>
    </row>
    <row r="34" spans="1:12" ht="18" x14ac:dyDescent="0.35">
      <c r="A34" s="4" t="s">
        <v>78</v>
      </c>
      <c r="B34" s="10">
        <v>45728</v>
      </c>
      <c r="C34" s="5" t="s">
        <v>26</v>
      </c>
      <c r="D34" s="5" t="s">
        <v>13</v>
      </c>
      <c r="E34" s="5" t="s">
        <v>14</v>
      </c>
      <c r="F34" s="5" t="s">
        <v>15</v>
      </c>
      <c r="G34" s="5">
        <v>2</v>
      </c>
      <c r="H34" s="5">
        <v>55000</v>
      </c>
      <c r="I34" s="5">
        <v>110000</v>
      </c>
      <c r="J34" s="5">
        <v>12000</v>
      </c>
      <c r="K34" s="5" t="s">
        <v>16</v>
      </c>
      <c r="L34" s="6" t="s">
        <v>12</v>
      </c>
    </row>
    <row r="35" spans="1:12" ht="18" x14ac:dyDescent="0.35">
      <c r="A35" s="4" t="s">
        <v>79</v>
      </c>
      <c r="B35" s="10">
        <v>45731</v>
      </c>
      <c r="C35" s="5" t="s">
        <v>31</v>
      </c>
      <c r="D35" s="5" t="s">
        <v>20</v>
      </c>
      <c r="E35" s="5" t="s">
        <v>21</v>
      </c>
      <c r="F35" s="5" t="s">
        <v>22</v>
      </c>
      <c r="G35" s="5">
        <v>6</v>
      </c>
      <c r="H35" s="5">
        <v>2500</v>
      </c>
      <c r="I35" s="5">
        <v>15000</v>
      </c>
      <c r="J35" s="5">
        <v>3000</v>
      </c>
      <c r="K35" s="5" t="s">
        <v>23</v>
      </c>
      <c r="L35" s="6" t="s">
        <v>17</v>
      </c>
    </row>
    <row r="36" spans="1:12" ht="18" x14ac:dyDescent="0.35">
      <c r="A36" s="4" t="s">
        <v>80</v>
      </c>
      <c r="B36" s="10">
        <v>45734</v>
      </c>
      <c r="C36" s="5" t="s">
        <v>36</v>
      </c>
      <c r="D36" s="5" t="s">
        <v>27</v>
      </c>
      <c r="E36" s="5" t="s">
        <v>14</v>
      </c>
      <c r="F36" s="5" t="s">
        <v>28</v>
      </c>
      <c r="G36" s="5">
        <v>3</v>
      </c>
      <c r="H36" s="5">
        <v>18000</v>
      </c>
      <c r="I36" s="5">
        <v>54000</v>
      </c>
      <c r="J36" s="5">
        <v>6000</v>
      </c>
      <c r="K36" s="5" t="s">
        <v>29</v>
      </c>
      <c r="L36" s="6" t="s">
        <v>24</v>
      </c>
    </row>
    <row r="37" spans="1:12" ht="18" x14ac:dyDescent="0.35">
      <c r="A37" s="4" t="s">
        <v>81</v>
      </c>
      <c r="B37" s="10">
        <v>45736</v>
      </c>
      <c r="C37" s="5" t="s">
        <v>39</v>
      </c>
      <c r="D37" s="5" t="s">
        <v>32</v>
      </c>
      <c r="E37" s="5" t="s">
        <v>33</v>
      </c>
      <c r="F37" s="5" t="s">
        <v>34</v>
      </c>
      <c r="G37" s="5">
        <v>50</v>
      </c>
      <c r="H37" s="5">
        <v>100</v>
      </c>
      <c r="I37" s="5">
        <v>5000</v>
      </c>
      <c r="J37" s="5">
        <v>1100</v>
      </c>
      <c r="K37" s="5" t="s">
        <v>16</v>
      </c>
      <c r="L37" s="6" t="s">
        <v>12</v>
      </c>
    </row>
    <row r="38" spans="1:12" ht="18" x14ac:dyDescent="0.35">
      <c r="A38" s="4" t="s">
        <v>82</v>
      </c>
      <c r="B38" s="10">
        <v>45738</v>
      </c>
      <c r="C38" s="5" t="s">
        <v>42</v>
      </c>
      <c r="D38" s="5" t="s">
        <v>13</v>
      </c>
      <c r="E38" s="5" t="s">
        <v>21</v>
      </c>
      <c r="F38" s="5" t="s">
        <v>37</v>
      </c>
      <c r="G38" s="5">
        <v>3</v>
      </c>
      <c r="H38" s="5">
        <v>7000</v>
      </c>
      <c r="I38" s="5">
        <v>21000</v>
      </c>
      <c r="J38" s="5">
        <v>4200</v>
      </c>
      <c r="K38" s="5" t="s">
        <v>23</v>
      </c>
      <c r="L38" s="6" t="s">
        <v>17</v>
      </c>
    </row>
    <row r="39" spans="1:12" ht="18" x14ac:dyDescent="0.35">
      <c r="A39" s="4" t="s">
        <v>83</v>
      </c>
      <c r="B39" s="10">
        <v>45740</v>
      </c>
      <c r="C39" s="5" t="s">
        <v>45</v>
      </c>
      <c r="D39" s="5" t="s">
        <v>20</v>
      </c>
      <c r="E39" s="5" t="s">
        <v>14</v>
      </c>
      <c r="F39" s="5" t="s">
        <v>40</v>
      </c>
      <c r="G39" s="5">
        <v>7</v>
      </c>
      <c r="H39" s="5">
        <v>2000</v>
      </c>
      <c r="I39" s="5">
        <v>14000</v>
      </c>
      <c r="J39" s="5">
        <v>2800</v>
      </c>
      <c r="K39" s="5" t="s">
        <v>16</v>
      </c>
      <c r="L39" s="6" t="s">
        <v>24</v>
      </c>
    </row>
    <row r="40" spans="1:12" ht="18" x14ac:dyDescent="0.35">
      <c r="A40" s="4" t="s">
        <v>84</v>
      </c>
      <c r="B40" s="10">
        <v>45743</v>
      </c>
      <c r="C40" s="5" t="s">
        <v>48</v>
      </c>
      <c r="D40" s="5" t="s">
        <v>27</v>
      </c>
      <c r="E40" s="5" t="s">
        <v>33</v>
      </c>
      <c r="F40" s="5" t="s">
        <v>43</v>
      </c>
      <c r="G40" s="5">
        <v>90</v>
      </c>
      <c r="H40" s="5">
        <v>20</v>
      </c>
      <c r="I40" s="5">
        <v>1800</v>
      </c>
      <c r="J40" s="5">
        <v>350</v>
      </c>
      <c r="K40" s="5" t="s">
        <v>29</v>
      </c>
      <c r="L40" s="6" t="s">
        <v>12</v>
      </c>
    </row>
    <row r="41" spans="1:12" ht="18" x14ac:dyDescent="0.35">
      <c r="A41" s="7" t="s">
        <v>85</v>
      </c>
      <c r="B41" s="11">
        <v>45746</v>
      </c>
      <c r="C41" s="8" t="s">
        <v>50</v>
      </c>
      <c r="D41" s="8" t="s">
        <v>32</v>
      </c>
      <c r="E41" s="8" t="s">
        <v>14</v>
      </c>
      <c r="F41" s="8" t="s">
        <v>46</v>
      </c>
      <c r="G41" s="8">
        <v>2</v>
      </c>
      <c r="H41" s="8">
        <v>25000</v>
      </c>
      <c r="I41" s="8">
        <v>50000</v>
      </c>
      <c r="J41" s="8">
        <v>7000</v>
      </c>
      <c r="K41" s="8" t="s">
        <v>16</v>
      </c>
      <c r="L41" s="9" t="s">
        <v>17</v>
      </c>
    </row>
    <row r="47" spans="1:12" x14ac:dyDescent="0.3">
      <c r="B47" t="b">
        <f>ISNUMBER(B2)</f>
        <v>1</v>
      </c>
    </row>
  </sheetData>
  <conditionalFormatting sqref="H24">
    <cfRule type="duplicateValues" dxfId="0" priority="1"/>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A018-0812-4DED-956B-D940E4C63B89}">
  <dimension ref="A3:K183"/>
  <sheetViews>
    <sheetView topLeftCell="A162" zoomScale="109" workbookViewId="0">
      <selection activeCell="M177" sqref="M177"/>
    </sheetView>
  </sheetViews>
  <sheetFormatPr defaultRowHeight="14.4" x14ac:dyDescent="0.3"/>
  <cols>
    <col min="1" max="1" width="12.5546875" bestFit="1" customWidth="1"/>
    <col min="2" max="3" width="11.6640625" customWidth="1"/>
    <col min="11" max="11" width="11.6640625" customWidth="1"/>
  </cols>
  <sheetData>
    <row r="3" spans="1:1" x14ac:dyDescent="0.3">
      <c r="A3" s="13" t="s">
        <v>87</v>
      </c>
    </row>
    <row r="4" spans="1:1" x14ac:dyDescent="0.3">
      <c r="A4" s="14" t="s">
        <v>89</v>
      </c>
    </row>
    <row r="5" spans="1:1" x14ac:dyDescent="0.3">
      <c r="A5" s="14" t="s">
        <v>90</v>
      </c>
    </row>
    <row r="6" spans="1:1" x14ac:dyDescent="0.3">
      <c r="A6" s="14" t="s">
        <v>91</v>
      </c>
    </row>
    <row r="7" spans="1:1" x14ac:dyDescent="0.3">
      <c r="A7" s="14" t="s">
        <v>88</v>
      </c>
    </row>
    <row r="12" spans="1:1" x14ac:dyDescent="0.3">
      <c r="A12" s="13" t="s">
        <v>87</v>
      </c>
    </row>
    <row r="13" spans="1:1" x14ac:dyDescent="0.3">
      <c r="A13" s="14" t="s">
        <v>32</v>
      </c>
    </row>
    <row r="14" spans="1:1" x14ac:dyDescent="0.3">
      <c r="A14" s="14" t="s">
        <v>13</v>
      </c>
    </row>
    <row r="15" spans="1:1" x14ac:dyDescent="0.3">
      <c r="A15" s="14" t="s">
        <v>20</v>
      </c>
    </row>
    <row r="16" spans="1:1" x14ac:dyDescent="0.3">
      <c r="A16" s="14" t="s">
        <v>27</v>
      </c>
    </row>
    <row r="17" spans="1:11" x14ac:dyDescent="0.3">
      <c r="A17" s="14" t="s">
        <v>88</v>
      </c>
    </row>
    <row r="20" spans="1:11" x14ac:dyDescent="0.3">
      <c r="A20" s="13" t="s">
        <v>87</v>
      </c>
    </row>
    <row r="21" spans="1:11" x14ac:dyDescent="0.3">
      <c r="A21" s="14" t="s">
        <v>28</v>
      </c>
    </row>
    <row r="22" spans="1:11" x14ac:dyDescent="0.3">
      <c r="A22" s="14" t="s">
        <v>88</v>
      </c>
    </row>
    <row r="27" spans="1:11" x14ac:dyDescent="0.3">
      <c r="A27" t="s">
        <v>92</v>
      </c>
    </row>
    <row r="28" spans="1:11" x14ac:dyDescent="0.3">
      <c r="A28" s="18">
        <v>1227700</v>
      </c>
      <c r="B28" s="15">
        <f>GETPIVOTDATA("Sales",$A$27)</f>
        <v>1227700</v>
      </c>
      <c r="K28" t="s">
        <v>92</v>
      </c>
    </row>
    <row r="29" spans="1:11" x14ac:dyDescent="0.3">
      <c r="K29" s="18">
        <v>1227700</v>
      </c>
    </row>
    <row r="35" spans="1:2" x14ac:dyDescent="0.3">
      <c r="A35" t="s">
        <v>93</v>
      </c>
    </row>
    <row r="36" spans="1:2" x14ac:dyDescent="0.3">
      <c r="A36" s="18">
        <v>167950</v>
      </c>
      <c r="B36" s="15">
        <f>GETPIVOTDATA("Profit",$A$35)</f>
        <v>167950</v>
      </c>
    </row>
    <row r="40" spans="1:2" x14ac:dyDescent="0.3">
      <c r="A40" t="s">
        <v>94</v>
      </c>
    </row>
    <row r="41" spans="1:2" x14ac:dyDescent="0.3">
      <c r="A41" s="18">
        <v>717</v>
      </c>
      <c r="B41">
        <f>GETPIVOTDATA("Quantity",$A$40)</f>
        <v>717</v>
      </c>
    </row>
    <row r="43" spans="1:2" x14ac:dyDescent="0.3">
      <c r="A43" t="s">
        <v>95</v>
      </c>
    </row>
    <row r="44" spans="1:2" x14ac:dyDescent="0.3">
      <c r="A44" s="18">
        <v>548100</v>
      </c>
      <c r="B44" s="15">
        <f>B36</f>
        <v>167950</v>
      </c>
    </row>
    <row r="47" spans="1:2" x14ac:dyDescent="0.3">
      <c r="A47" s="13" t="s">
        <v>87</v>
      </c>
      <c r="B47" t="s">
        <v>92</v>
      </c>
    </row>
    <row r="48" spans="1:2" x14ac:dyDescent="0.3">
      <c r="A48" s="14" t="s">
        <v>17</v>
      </c>
      <c r="B48" s="18">
        <v>415400</v>
      </c>
    </row>
    <row r="49" spans="1:2" x14ac:dyDescent="0.3">
      <c r="A49" s="14" t="s">
        <v>24</v>
      </c>
      <c r="B49" s="18">
        <v>412500</v>
      </c>
    </row>
    <row r="50" spans="1:2" x14ac:dyDescent="0.3">
      <c r="A50" s="14" t="s">
        <v>12</v>
      </c>
      <c r="B50" s="18">
        <v>399800</v>
      </c>
    </row>
    <row r="51" spans="1:2" x14ac:dyDescent="0.3">
      <c r="A51" s="14" t="s">
        <v>88</v>
      </c>
      <c r="B51" s="18">
        <v>1227700</v>
      </c>
    </row>
    <row r="56" spans="1:2" x14ac:dyDescent="0.3">
      <c r="A56" s="16" t="s">
        <v>87</v>
      </c>
      <c r="B56" s="16" t="s">
        <v>92</v>
      </c>
    </row>
    <row r="57" spans="1:2" x14ac:dyDescent="0.3">
      <c r="A57" s="14" t="s">
        <v>17</v>
      </c>
      <c r="B57">
        <v>415400</v>
      </c>
    </row>
    <row r="58" spans="1:2" x14ac:dyDescent="0.3">
      <c r="A58" s="14" t="s">
        <v>24</v>
      </c>
      <c r="B58">
        <v>412500</v>
      </c>
    </row>
    <row r="59" spans="1:2" x14ac:dyDescent="0.3">
      <c r="A59" s="14" t="s">
        <v>12</v>
      </c>
      <c r="B59">
        <v>399800</v>
      </c>
    </row>
    <row r="62" spans="1:2" x14ac:dyDescent="0.3">
      <c r="A62" s="13" t="s">
        <v>87</v>
      </c>
      <c r="B62" t="s">
        <v>92</v>
      </c>
    </row>
    <row r="63" spans="1:2" x14ac:dyDescent="0.3">
      <c r="A63" s="14" t="s">
        <v>89</v>
      </c>
      <c r="B63" s="18">
        <v>403500</v>
      </c>
    </row>
    <row r="64" spans="1:2" x14ac:dyDescent="0.3">
      <c r="A64" s="14" t="s">
        <v>90</v>
      </c>
      <c r="B64" s="18">
        <v>453000</v>
      </c>
    </row>
    <row r="65" spans="1:2" x14ac:dyDescent="0.3">
      <c r="A65" s="14" t="s">
        <v>91</v>
      </c>
      <c r="B65" s="18">
        <v>371200</v>
      </c>
    </row>
    <row r="66" spans="1:2" x14ac:dyDescent="0.3">
      <c r="A66" s="14" t="s">
        <v>88</v>
      </c>
      <c r="B66" s="18">
        <v>1227700</v>
      </c>
    </row>
    <row r="73" spans="1:2" x14ac:dyDescent="0.3">
      <c r="A73" s="13" t="s">
        <v>87</v>
      </c>
      <c r="B73" t="s">
        <v>92</v>
      </c>
    </row>
    <row r="74" spans="1:2" x14ac:dyDescent="0.3">
      <c r="A74" s="14" t="s">
        <v>89</v>
      </c>
      <c r="B74" s="18">
        <v>403500</v>
      </c>
    </row>
    <row r="75" spans="1:2" x14ac:dyDescent="0.3">
      <c r="A75" s="14" t="s">
        <v>90</v>
      </c>
      <c r="B75" s="18">
        <v>453000</v>
      </c>
    </row>
    <row r="76" spans="1:2" x14ac:dyDescent="0.3">
      <c r="A76" s="14" t="s">
        <v>91</v>
      </c>
      <c r="B76" s="18">
        <v>371200</v>
      </c>
    </row>
    <row r="77" spans="1:2" x14ac:dyDescent="0.3">
      <c r="A77" s="14" t="s">
        <v>88</v>
      </c>
      <c r="B77" s="18">
        <v>1227700</v>
      </c>
    </row>
    <row r="82" spans="1:2" x14ac:dyDescent="0.3">
      <c r="A82" s="13" t="s">
        <v>87</v>
      </c>
      <c r="B82" t="s">
        <v>92</v>
      </c>
    </row>
    <row r="83" spans="1:2" x14ac:dyDescent="0.3">
      <c r="A83" s="14" t="s">
        <v>32</v>
      </c>
      <c r="B83" s="18">
        <v>266500</v>
      </c>
    </row>
    <row r="84" spans="1:2" x14ac:dyDescent="0.3">
      <c r="A84" s="14" t="s">
        <v>13</v>
      </c>
      <c r="B84" s="18">
        <v>538000</v>
      </c>
    </row>
    <row r="85" spans="1:2" x14ac:dyDescent="0.3">
      <c r="A85" s="14" t="s">
        <v>20</v>
      </c>
      <c r="B85" s="18">
        <v>162500</v>
      </c>
    </row>
    <row r="86" spans="1:2" x14ac:dyDescent="0.3">
      <c r="A86" s="14" t="s">
        <v>27</v>
      </c>
      <c r="B86" s="18">
        <v>260700</v>
      </c>
    </row>
    <row r="87" spans="1:2" x14ac:dyDescent="0.3">
      <c r="A87" s="14" t="s">
        <v>88</v>
      </c>
      <c r="B87" s="18">
        <v>1227700</v>
      </c>
    </row>
    <row r="94" spans="1:2" x14ac:dyDescent="0.3">
      <c r="A94" s="13" t="s">
        <v>87</v>
      </c>
      <c r="B94" t="s">
        <v>92</v>
      </c>
    </row>
    <row r="95" spans="1:2" x14ac:dyDescent="0.3">
      <c r="A95" s="14" t="s">
        <v>14</v>
      </c>
      <c r="B95" s="18">
        <v>1002000</v>
      </c>
    </row>
    <row r="96" spans="1:2" x14ac:dyDescent="0.3">
      <c r="A96" s="14" t="s">
        <v>21</v>
      </c>
      <c r="B96" s="18">
        <v>200500</v>
      </c>
    </row>
    <row r="97" spans="1:2" x14ac:dyDescent="0.3">
      <c r="A97" s="14" t="s">
        <v>33</v>
      </c>
      <c r="B97" s="18">
        <v>25200</v>
      </c>
    </row>
    <row r="98" spans="1:2" x14ac:dyDescent="0.3">
      <c r="A98" s="14" t="s">
        <v>88</v>
      </c>
      <c r="B98" s="18">
        <v>1227700</v>
      </c>
    </row>
    <row r="104" spans="1:2" x14ac:dyDescent="0.3">
      <c r="A104" s="13" t="s">
        <v>87</v>
      </c>
      <c r="B104" t="s">
        <v>92</v>
      </c>
    </row>
    <row r="105" spans="1:2" x14ac:dyDescent="0.3">
      <c r="A105" s="14" t="s">
        <v>37</v>
      </c>
      <c r="B105" s="18">
        <v>98000</v>
      </c>
    </row>
    <row r="106" spans="1:2" x14ac:dyDescent="0.3">
      <c r="A106" s="14" t="s">
        <v>22</v>
      </c>
      <c r="B106" s="18">
        <v>102500</v>
      </c>
    </row>
    <row r="107" spans="1:2" x14ac:dyDescent="0.3">
      <c r="A107" s="14" t="s">
        <v>46</v>
      </c>
      <c r="B107" s="18">
        <v>250000</v>
      </c>
    </row>
    <row r="108" spans="1:2" x14ac:dyDescent="0.3">
      <c r="A108" s="14" t="s">
        <v>28</v>
      </c>
      <c r="B108" s="18">
        <v>252000</v>
      </c>
    </row>
    <row r="109" spans="1:2" x14ac:dyDescent="0.3">
      <c r="A109" s="14" t="s">
        <v>15</v>
      </c>
      <c r="B109" s="18">
        <v>440000</v>
      </c>
    </row>
    <row r="110" spans="1:2" x14ac:dyDescent="0.3">
      <c r="A110" s="14" t="s">
        <v>88</v>
      </c>
      <c r="B110" s="18">
        <v>1142500</v>
      </c>
    </row>
    <row r="115" spans="1:2" x14ac:dyDescent="0.3">
      <c r="A115" s="13" t="s">
        <v>87</v>
      </c>
      <c r="B115" t="s">
        <v>93</v>
      </c>
    </row>
    <row r="116" spans="1:2" x14ac:dyDescent="0.3">
      <c r="A116" s="14" t="s">
        <v>32</v>
      </c>
      <c r="B116" s="18">
        <v>38300</v>
      </c>
    </row>
    <row r="117" spans="1:2" x14ac:dyDescent="0.3">
      <c r="A117" s="14" t="s">
        <v>13</v>
      </c>
      <c r="B117" s="18">
        <v>67300</v>
      </c>
    </row>
    <row r="118" spans="1:2" x14ac:dyDescent="0.3">
      <c r="A118" s="14" t="s">
        <v>20</v>
      </c>
      <c r="B118" s="18">
        <v>32600</v>
      </c>
    </row>
    <row r="119" spans="1:2" x14ac:dyDescent="0.3">
      <c r="A119" s="14" t="s">
        <v>27</v>
      </c>
      <c r="B119" s="18">
        <v>29750</v>
      </c>
    </row>
    <row r="120" spans="1:2" x14ac:dyDescent="0.3">
      <c r="A120" s="14" t="s">
        <v>88</v>
      </c>
      <c r="B120" s="18">
        <v>167950</v>
      </c>
    </row>
    <row r="131" spans="1:2" x14ac:dyDescent="0.3">
      <c r="A131" s="17" t="e" vm="1">
        <v>#VALUE!</v>
      </c>
    </row>
    <row r="135" spans="1:2" x14ac:dyDescent="0.3">
      <c r="A135" s="13" t="s">
        <v>87</v>
      </c>
      <c r="B135" t="s">
        <v>92</v>
      </c>
    </row>
    <row r="136" spans="1:2" x14ac:dyDescent="0.3">
      <c r="A136" s="14" t="s">
        <v>16</v>
      </c>
      <c r="B136" s="18">
        <v>27000</v>
      </c>
    </row>
    <row r="137" spans="1:2" x14ac:dyDescent="0.3">
      <c r="A137" s="14" t="s">
        <v>88</v>
      </c>
      <c r="B137" s="18">
        <v>27000</v>
      </c>
    </row>
    <row r="142" spans="1:2" x14ac:dyDescent="0.3">
      <c r="A142" s="13" t="s">
        <v>1</v>
      </c>
      <c r="B142" t="s">
        <v>96</v>
      </c>
    </row>
    <row r="144" spans="1:2" x14ac:dyDescent="0.3">
      <c r="A144" s="13" t="s">
        <v>87</v>
      </c>
      <c r="B144" t="s">
        <v>94</v>
      </c>
    </row>
    <row r="145" spans="1:2" x14ac:dyDescent="0.3">
      <c r="A145" s="14" t="s">
        <v>46</v>
      </c>
      <c r="B145" s="18">
        <v>10</v>
      </c>
    </row>
    <row r="146" spans="1:2" x14ac:dyDescent="0.3">
      <c r="A146" s="14" t="s">
        <v>37</v>
      </c>
      <c r="B146" s="18">
        <v>14</v>
      </c>
    </row>
    <row r="147" spans="1:2" x14ac:dyDescent="0.3">
      <c r="A147" s="14" t="s">
        <v>43</v>
      </c>
      <c r="B147" s="18">
        <v>435</v>
      </c>
    </row>
    <row r="148" spans="1:2" x14ac:dyDescent="0.3">
      <c r="A148" s="14" t="s">
        <v>34</v>
      </c>
      <c r="B148" s="18">
        <v>165</v>
      </c>
    </row>
    <row r="149" spans="1:2" x14ac:dyDescent="0.3">
      <c r="A149" s="14" t="s">
        <v>28</v>
      </c>
      <c r="B149" s="18">
        <v>14</v>
      </c>
    </row>
    <row r="150" spans="1:2" x14ac:dyDescent="0.3">
      <c r="A150" s="14" t="s">
        <v>15</v>
      </c>
      <c r="B150" s="18">
        <v>8</v>
      </c>
    </row>
    <row r="151" spans="1:2" x14ac:dyDescent="0.3">
      <c r="A151" s="14" t="s">
        <v>40</v>
      </c>
      <c r="B151" s="18">
        <v>30</v>
      </c>
    </row>
    <row r="152" spans="1:2" x14ac:dyDescent="0.3">
      <c r="A152" s="14" t="s">
        <v>22</v>
      </c>
      <c r="B152" s="18">
        <v>41</v>
      </c>
    </row>
    <row r="153" spans="1:2" x14ac:dyDescent="0.3">
      <c r="A153" s="14" t="s">
        <v>88</v>
      </c>
      <c r="B153" s="18">
        <v>717</v>
      </c>
    </row>
    <row r="158" spans="1:2" x14ac:dyDescent="0.3">
      <c r="B158" t="e">
        <f>GETPIVOTDATA("Quantity",$A$157)</f>
        <v>#REF!</v>
      </c>
    </row>
    <row r="167" spans="1:2" x14ac:dyDescent="0.3">
      <c r="A167" s="13" t="s">
        <v>87</v>
      </c>
      <c r="B167" t="s">
        <v>93</v>
      </c>
    </row>
    <row r="168" spans="1:2" x14ac:dyDescent="0.3">
      <c r="A168" s="14" t="s">
        <v>39</v>
      </c>
      <c r="B168" s="18">
        <v>5500</v>
      </c>
    </row>
    <row r="169" spans="1:2" x14ac:dyDescent="0.3">
      <c r="A169" s="14" t="s">
        <v>26</v>
      </c>
      <c r="B169" s="18">
        <v>22000</v>
      </c>
    </row>
    <row r="170" spans="1:2" x14ac:dyDescent="0.3">
      <c r="A170" s="14" t="s">
        <v>58</v>
      </c>
      <c r="B170" s="18">
        <v>7500</v>
      </c>
    </row>
    <row r="171" spans="1:2" x14ac:dyDescent="0.3">
      <c r="A171" s="14" t="s">
        <v>54</v>
      </c>
      <c r="B171" s="18">
        <v>4700</v>
      </c>
    </row>
    <row r="172" spans="1:2" x14ac:dyDescent="0.3">
      <c r="A172" s="14" t="s">
        <v>60</v>
      </c>
      <c r="B172" s="18">
        <v>3600</v>
      </c>
    </row>
    <row r="173" spans="1:2" x14ac:dyDescent="0.3">
      <c r="A173" s="14" t="s">
        <v>48</v>
      </c>
      <c r="B173" s="18">
        <v>16350</v>
      </c>
    </row>
    <row r="174" spans="1:2" x14ac:dyDescent="0.3">
      <c r="A174" s="14" t="s">
        <v>50</v>
      </c>
      <c r="B174" s="18">
        <v>18000</v>
      </c>
    </row>
    <row r="175" spans="1:2" x14ac:dyDescent="0.3">
      <c r="A175" s="14" t="s">
        <v>45</v>
      </c>
      <c r="B175" s="18">
        <v>10100</v>
      </c>
    </row>
    <row r="176" spans="1:2" x14ac:dyDescent="0.3">
      <c r="A176" s="14" t="s">
        <v>19</v>
      </c>
      <c r="B176" s="18">
        <v>21500</v>
      </c>
    </row>
    <row r="177" spans="1:2" x14ac:dyDescent="0.3">
      <c r="A177" s="14" t="s">
        <v>12</v>
      </c>
      <c r="B177" s="18">
        <v>16000</v>
      </c>
    </row>
    <row r="178" spans="1:2" x14ac:dyDescent="0.3">
      <c r="A178" s="14" t="s">
        <v>52</v>
      </c>
      <c r="B178" s="18">
        <v>10000</v>
      </c>
    </row>
    <row r="179" spans="1:2" x14ac:dyDescent="0.3">
      <c r="A179" s="14" t="s">
        <v>42</v>
      </c>
      <c r="B179" s="18">
        <v>6900</v>
      </c>
    </row>
    <row r="180" spans="1:2" x14ac:dyDescent="0.3">
      <c r="A180" s="14" t="s">
        <v>56</v>
      </c>
      <c r="B180" s="18">
        <v>4900</v>
      </c>
    </row>
    <row r="181" spans="1:2" x14ac:dyDescent="0.3">
      <c r="A181" s="14" t="s">
        <v>31</v>
      </c>
      <c r="B181" s="18">
        <v>11500</v>
      </c>
    </row>
    <row r="182" spans="1:2" x14ac:dyDescent="0.3">
      <c r="A182" s="14" t="s">
        <v>36</v>
      </c>
      <c r="B182" s="18">
        <v>9400</v>
      </c>
    </row>
    <row r="183" spans="1:2" x14ac:dyDescent="0.3">
      <c r="A183" s="14" t="s">
        <v>88</v>
      </c>
      <c r="B183" s="18">
        <v>167950</v>
      </c>
    </row>
  </sheetData>
  <pageMargins left="0.7" right="0.7" top="0.75" bottom="0.75" header="0.3" footer="0.3"/>
  <drawing r:id="rId20"/>
  <extLst>
    <ext xmlns:x14="http://schemas.microsoft.com/office/spreadsheetml/2009/9/main" uri="{A8765BA9-456A-4dab-B4F3-ACF838C121DE}">
      <x14:slicerList>
        <x14:slicer r:id="rId21"/>
      </x14:slicerList>
    </ext>
    <ext xmlns:x15="http://schemas.microsoft.com/office/spreadsheetml/2010/11/main" uri="{7E03D99C-DC04-49d9-9315-930204A7B6E9}">
      <x15:timelineRefs>
        <x15:timelineRef r:id="rId2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Customer</vt:lpstr>
      <vt:lpstr>About</vt:lpstr>
      <vt:lpstr>SalesData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zaid</cp:lastModifiedBy>
  <dcterms:created xsi:type="dcterms:W3CDTF">2026-08-08T12:06:03Z</dcterms:created>
  <dcterms:modified xsi:type="dcterms:W3CDTF">2026-08-16T14:04:43Z</dcterms:modified>
</cp:coreProperties>
</file>